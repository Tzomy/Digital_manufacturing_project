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2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3.xml" ContentType="application/vnd.openxmlformats-officedocument.drawing+xml"/>
  <Override PartName="/xl/ctrlProps/ctrlProp6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9" codeName="{00000000-0000-0000-0000-000000000000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unipdit-my.sharepoint.com/personal/tommaso_pintonato_studenti_unipd_it/Documents/Primo anno magistrale/Digital manufacturing/Project work/To send/"/>
    </mc:Choice>
  </mc:AlternateContent>
  <xr:revisionPtr revIDLastSave="0" documentId="8_{3B72D695-2EFE-4C99-8A4B-0F48145A24E0}" xr6:coauthVersionLast="47" xr6:coauthVersionMax="47" xr10:uidLastSave="{00000000-0000-0000-0000-000000000000}"/>
  <bookViews>
    <workbookView xWindow="-120" yWindow="-120" windowWidth="29040" windowHeight="15720" firstSheet="7" activeTab="7" xr2:uid="{10CEDCFC-3AB5-4162-A45A-5E52F8C6E9F2}"/>
  </bookViews>
  <sheets>
    <sheet name="Instructions" sheetId="9" r:id="rId1"/>
    <sheet name="Main" sheetId="1" r:id="rId2"/>
    <sheet name="Main PP" sheetId="10" r:id="rId3"/>
    <sheet name="Cost vs. N. of Cavities " sheetId="7" r:id="rId4"/>
    <sheet name="Cost vs. Production Vol." sheetId="8" r:id="rId5"/>
    <sheet name="Materials" sheetId="2" r:id="rId6"/>
    <sheet name="Machine coefficients" sheetId="3" r:id="rId7"/>
    <sheet name="Mold coefficients" sheetId="4" r:id="rId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" i="8" l="1"/>
  <c r="R3" i="7"/>
  <c r="R4" i="7"/>
  <c r="R5" i="7"/>
  <c r="R6" i="7"/>
  <c r="R7" i="7"/>
  <c r="R8" i="7"/>
  <c r="R9" i="7"/>
  <c r="R2" i="7"/>
  <c r="L25" i="1"/>
  <c r="L12" i="10"/>
  <c r="L14" i="10" s="1"/>
  <c r="L13" i="10" s="1"/>
  <c r="L11" i="1"/>
  <c r="H66" i="10"/>
  <c r="G66" i="10"/>
  <c r="H65" i="10"/>
  <c r="G65" i="10"/>
  <c r="H64" i="10"/>
  <c r="G64" i="10"/>
  <c r="H63" i="10"/>
  <c r="G63" i="10"/>
  <c r="H62" i="10"/>
  <c r="G62" i="10"/>
  <c r="H61" i="10"/>
  <c r="G61" i="10"/>
  <c r="H60" i="10"/>
  <c r="G60" i="10"/>
  <c r="H59" i="10"/>
  <c r="G59" i="10"/>
  <c r="H58" i="10"/>
  <c r="G58" i="10"/>
  <c r="H57" i="10"/>
  <c r="G57" i="10"/>
  <c r="H56" i="10"/>
  <c r="G56" i="10"/>
  <c r="H55" i="10"/>
  <c r="G55" i="10"/>
  <c r="H54" i="10"/>
  <c r="G54" i="10"/>
  <c r="H53" i="10"/>
  <c r="G53" i="10"/>
  <c r="E51" i="10"/>
  <c r="E50" i="10"/>
  <c r="E49" i="10"/>
  <c r="E48" i="10"/>
  <c r="E47" i="10"/>
  <c r="E46" i="10"/>
  <c r="E45" i="10"/>
  <c r="E42" i="10"/>
  <c r="L41" i="10"/>
  <c r="E41" i="10"/>
  <c r="L40" i="10"/>
  <c r="E40" i="10"/>
  <c r="L39" i="10"/>
  <c r="E39" i="10"/>
  <c r="L42" i="10" s="1"/>
  <c r="L38" i="10"/>
  <c r="L37" i="10" s="1"/>
  <c r="E38" i="10"/>
  <c r="L34" i="10"/>
  <c r="L26" i="10" s="1"/>
  <c r="L33" i="10"/>
  <c r="L25" i="10" s="1"/>
  <c r="L32" i="10"/>
  <c r="L24" i="10" s="1"/>
  <c r="L30" i="10"/>
  <c r="L22" i="10"/>
  <c r="L21" i="10"/>
  <c r="C21" i="10"/>
  <c r="C20" i="10"/>
  <c r="C19" i="10"/>
  <c r="L17" i="10"/>
  <c r="M17" i="10" s="1"/>
  <c r="L11" i="10"/>
  <c r="L8" i="10"/>
  <c r="L7" i="10"/>
  <c r="L6" i="10"/>
  <c r="J4" i="8"/>
  <c r="J5" i="8"/>
  <c r="J6" i="8" s="1"/>
  <c r="J7" i="8" s="1"/>
  <c r="J8" i="8" s="1"/>
  <c r="J9" i="8" s="1"/>
  <c r="J10" i="8" s="1"/>
  <c r="J11" i="8" s="1"/>
  <c r="J12" i="8" s="1"/>
  <c r="J13" i="8" s="1"/>
  <c r="J15" i="8" s="1"/>
  <c r="J16" i="8" s="1"/>
  <c r="J17" i="8" s="1"/>
  <c r="J3" i="8"/>
  <c r="C23" i="3"/>
  <c r="L3" i="10" s="1"/>
  <c r="L47" i="10" l="1"/>
  <c r="L46" i="10"/>
  <c r="L44" i="10"/>
  <c r="L43" i="10" s="1"/>
  <c r="L31" i="10"/>
  <c r="L29" i="10" s="1"/>
  <c r="L10" i="10"/>
  <c r="G1" i="10" s="1"/>
  <c r="L36" i="10"/>
  <c r="L35" i="10" s="1"/>
  <c r="L5" i="10"/>
  <c r="E1" i="10" s="1"/>
  <c r="L23" i="10"/>
  <c r="L20" i="10" s="1"/>
  <c r="L37" i="1"/>
  <c r="L28" i="10" l="1"/>
  <c r="L27" i="10" s="1"/>
  <c r="L45" i="10" s="1"/>
  <c r="M9" i="7"/>
  <c r="M3" i="7"/>
  <c r="M4" i="7"/>
  <c r="M5" i="7"/>
  <c r="M6" i="7"/>
  <c r="M7" i="7"/>
  <c r="M8" i="7"/>
  <c r="M2" i="7"/>
  <c r="L19" i="10" l="1"/>
  <c r="L16" i="10" s="1"/>
  <c r="L21" i="1"/>
  <c r="L1" i="10" l="1"/>
  <c r="J1" i="10"/>
  <c r="L2" i="10"/>
  <c r="E39" i="1"/>
  <c r="E40" i="1"/>
  <c r="E41" i="1"/>
  <c r="E42" i="1"/>
  <c r="E38" i="1"/>
  <c r="B1" i="10" l="1"/>
  <c r="M10" i="10"/>
  <c r="M5" i="10"/>
  <c r="M16" i="10"/>
  <c r="L42" i="1"/>
  <c r="L33" i="1"/>
  <c r="D79" i="4" l="1"/>
  <c r="L17" i="1" s="1"/>
  <c r="M17" i="1" s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H58" i="1"/>
  <c r="G58" i="1"/>
  <c r="H57" i="1"/>
  <c r="G57" i="1"/>
  <c r="H56" i="1"/>
  <c r="G56" i="1"/>
  <c r="H55" i="1"/>
  <c r="G55" i="1"/>
  <c r="H54" i="1"/>
  <c r="G54" i="1"/>
  <c r="H53" i="1"/>
  <c r="G53" i="1"/>
  <c r="E46" i="1"/>
  <c r="E47" i="1"/>
  <c r="E48" i="1"/>
  <c r="E49" i="1"/>
  <c r="E50" i="1"/>
  <c r="E51" i="1"/>
  <c r="E45" i="1"/>
  <c r="L3" i="1" l="1"/>
  <c r="L44" i="1"/>
  <c r="L43" i="1" s="1"/>
  <c r="L46" i="1"/>
  <c r="L47" i="1"/>
  <c r="L41" i="1"/>
  <c r="L40" i="1"/>
  <c r="L39" i="1" s="1"/>
  <c r="L38" i="1"/>
  <c r="L30" i="1"/>
  <c r="L32" i="1"/>
  <c r="L24" i="1" s="1"/>
  <c r="L34" i="1"/>
  <c r="L26" i="1" s="1"/>
  <c r="L12" i="1"/>
  <c r="L22" i="1"/>
  <c r="C21" i="1"/>
  <c r="C20" i="1"/>
  <c r="L6" i="1"/>
  <c r="C19" i="1"/>
  <c r="L8" i="1"/>
  <c r="L7" i="1"/>
  <c r="L23" i="1" l="1"/>
  <c r="L20" i="1" s="1"/>
  <c r="L5" i="1"/>
  <c r="E1" i="1" s="1"/>
  <c r="C2" i="7" s="1"/>
  <c r="L14" i="1"/>
  <c r="L13" i="1" s="1"/>
  <c r="L10" i="1" s="1"/>
  <c r="G1" i="1" s="1"/>
  <c r="L31" i="1"/>
  <c r="L36" i="1" s="1"/>
  <c r="L35" i="1" s="1"/>
  <c r="D2" i="7" l="1"/>
  <c r="L29" i="1"/>
  <c r="L28" i="1" s="1"/>
  <c r="L27" i="1" s="1"/>
  <c r="L45" i="1" s="1"/>
  <c r="L19" i="1" s="1"/>
  <c r="L16" i="1" l="1"/>
  <c r="L1" i="1" l="1"/>
  <c r="J1" i="1" l="1"/>
  <c r="L2" i="1"/>
  <c r="E2" i="7" l="1"/>
  <c r="B1" i="1"/>
  <c r="M10" i="1"/>
  <c r="M5" i="1"/>
  <c r="M16" i="1"/>
  <c r="B2" i="7" l="1"/>
</calcChain>
</file>

<file path=xl/sharedStrings.xml><?xml version="1.0" encoding="utf-8"?>
<sst xmlns="http://schemas.openxmlformats.org/spreadsheetml/2006/main" count="649" uniqueCount="350">
  <si>
    <t>Enter data in the yellow boxes on the 'Main' sheet</t>
  </si>
  <si>
    <t>Read the results in the blue boxes on the 'Main' sheet</t>
  </si>
  <si>
    <t>Use the macro in the 'Cost vs. N. of Cavities' sheet to calculate the optimal number of cavities</t>
  </si>
  <si>
    <t>Enter the optimal number of cavities in the 'Main' sheet in cells D32 and D33</t>
  </si>
  <si>
    <t>Use the macro in the 'Cost vs. Production Vol.' sheet to plot the unit cost curve</t>
  </si>
  <si>
    <t>Total part cost</t>
  </si>
  <si>
    <t>Material Cost per Part</t>
  </si>
  <si>
    <t>Processing Cost per Part</t>
  </si>
  <si>
    <t>Mold Cost per Part</t>
  </si>
  <si>
    <t>Mold Cost</t>
  </si>
  <si>
    <t>Part</t>
  </si>
  <si>
    <r>
      <t>C</t>
    </r>
    <r>
      <rPr>
        <vertAlign val="subscript"/>
        <sz val="11"/>
        <color theme="1"/>
        <rFont val="Calibri"/>
        <family val="2"/>
        <scheme val="minor"/>
      </rPr>
      <t>part</t>
    </r>
  </si>
  <si>
    <t>$</t>
  </si>
  <si>
    <t>Part name</t>
  </si>
  <si>
    <t>GBA Shell</t>
  </si>
  <si>
    <t>Yield</t>
  </si>
  <si>
    <t>Total production quantity</t>
  </si>
  <si>
    <r>
      <t>n</t>
    </r>
    <r>
      <rPr>
        <vertAlign val="subscript"/>
        <sz val="11"/>
        <color theme="1"/>
        <rFont val="Calibri"/>
        <family val="2"/>
        <scheme val="minor"/>
      </rPr>
      <t>total</t>
    </r>
  </si>
  <si>
    <t>Quality requirements</t>
  </si>
  <si>
    <r>
      <t>C</t>
    </r>
    <r>
      <rPr>
        <vertAlign val="subscript"/>
        <sz val="11"/>
        <color theme="1"/>
        <rFont val="Calibri"/>
        <family val="2"/>
        <scheme val="minor"/>
      </rPr>
      <t>material/part</t>
    </r>
  </si>
  <si>
    <t>Part volume</t>
  </si>
  <si>
    <r>
      <t>V</t>
    </r>
    <r>
      <rPr>
        <vertAlign val="subscript"/>
        <sz val="11"/>
        <color theme="1"/>
        <rFont val="Calibri"/>
        <family val="2"/>
        <scheme val="minor"/>
      </rPr>
      <t>part</t>
    </r>
  </si>
  <si>
    <r>
      <t>cm</t>
    </r>
    <r>
      <rPr>
        <vertAlign val="superscript"/>
        <sz val="11"/>
        <color theme="1"/>
        <rFont val="Calibri"/>
        <family val="2"/>
        <scheme val="minor"/>
      </rPr>
      <t>3</t>
    </r>
  </si>
  <si>
    <t>Material</t>
  </si>
  <si>
    <t>Density at 20°C</t>
  </si>
  <si>
    <r>
      <rPr>
        <sz val="11"/>
        <color theme="1"/>
        <rFont val="Calibri"/>
        <family val="2"/>
      </rPr>
      <t>ρ</t>
    </r>
    <r>
      <rPr>
        <vertAlign val="subscript"/>
        <sz val="11"/>
        <color theme="1"/>
        <rFont val="Calibri"/>
        <family val="2"/>
      </rPr>
      <t>polymer</t>
    </r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</si>
  <si>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</si>
  <si>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Polymer</t>
  </si>
  <si>
    <t>Polymer cost</t>
  </si>
  <si>
    <r>
      <t>κ</t>
    </r>
    <r>
      <rPr>
        <vertAlign val="subscript"/>
        <sz val="11"/>
        <color theme="1"/>
        <rFont val="Calibri"/>
        <family val="2"/>
      </rPr>
      <t>polymer</t>
    </r>
  </si>
  <si>
    <t>$/kg</t>
  </si>
  <si>
    <t>Material abrasiveness</t>
  </si>
  <si>
    <t>Part geometry</t>
  </si>
  <si>
    <r>
      <t>C</t>
    </r>
    <r>
      <rPr>
        <vertAlign val="subscript"/>
        <sz val="11"/>
        <color theme="1"/>
        <rFont val="Calibri"/>
        <family val="2"/>
        <scheme val="minor"/>
      </rPr>
      <t>process/part</t>
    </r>
  </si>
  <si>
    <t>Part thickness</t>
  </si>
  <si>
    <r>
      <t>h</t>
    </r>
    <r>
      <rPr>
        <vertAlign val="subscript"/>
        <sz val="11"/>
        <color theme="1"/>
        <rFont val="Calibri"/>
        <family val="2"/>
        <scheme val="minor"/>
      </rPr>
      <t>wall</t>
    </r>
  </si>
  <si>
    <t>mm</t>
  </si>
  <si>
    <t>Cycle time</t>
  </si>
  <si>
    <r>
      <t>t</t>
    </r>
    <r>
      <rPr>
        <vertAlign val="subscript"/>
        <sz val="11"/>
        <color theme="1"/>
        <rFont val="Calibri"/>
        <family val="2"/>
        <scheme val="minor"/>
      </rPr>
      <t>cycle</t>
    </r>
  </si>
  <si>
    <t>s</t>
  </si>
  <si>
    <t>Cavity number</t>
  </si>
  <si>
    <r>
      <t>n</t>
    </r>
    <r>
      <rPr>
        <vertAlign val="subscript"/>
        <sz val="11"/>
        <color theme="1"/>
        <rFont val="Calibri"/>
        <family val="2"/>
        <scheme val="minor"/>
      </rPr>
      <t>cavities</t>
    </r>
  </si>
  <si>
    <t>Part length</t>
  </si>
  <si>
    <r>
      <t>L</t>
    </r>
    <r>
      <rPr>
        <vertAlign val="subscript"/>
        <sz val="11"/>
        <color theme="1"/>
        <rFont val="Calibri"/>
        <family val="2"/>
        <scheme val="minor"/>
      </rPr>
      <t>part</t>
    </r>
  </si>
  <si>
    <t>cm</t>
  </si>
  <si>
    <t>Injection molding machine rate</t>
  </si>
  <si>
    <r>
      <t>R</t>
    </r>
    <r>
      <rPr>
        <vertAlign val="subscript"/>
        <sz val="11"/>
        <color theme="1"/>
        <rFont val="Calibri"/>
        <family val="2"/>
        <scheme val="minor"/>
      </rPr>
      <t>molding</t>
    </r>
  </si>
  <si>
    <t>$/h</t>
  </si>
  <si>
    <t>Part width</t>
  </si>
  <si>
    <r>
      <t>W</t>
    </r>
    <r>
      <rPr>
        <vertAlign val="subscript"/>
        <sz val="11"/>
        <color theme="1"/>
        <rFont val="Calibri"/>
        <family val="2"/>
        <scheme val="minor"/>
      </rPr>
      <t>part</t>
    </r>
  </si>
  <si>
    <t>Clamping force</t>
  </si>
  <si>
    <r>
      <t>F</t>
    </r>
    <r>
      <rPr>
        <vertAlign val="subscript"/>
        <sz val="11"/>
        <color theme="1"/>
        <rFont val="Calibri"/>
        <family val="2"/>
        <scheme val="minor"/>
      </rPr>
      <t>clamp</t>
    </r>
  </si>
  <si>
    <t>Metric tons</t>
  </si>
  <si>
    <t>Part height</t>
  </si>
  <si>
    <r>
      <t>H</t>
    </r>
    <r>
      <rPr>
        <vertAlign val="subscript"/>
        <sz val="11"/>
        <color theme="1"/>
        <rFont val="Calibri"/>
        <family val="2"/>
        <scheme val="minor"/>
      </rPr>
      <t>part</t>
    </r>
  </si>
  <si>
    <t>Total surface area of the part</t>
  </si>
  <si>
    <r>
      <t>A</t>
    </r>
    <r>
      <rPr>
        <vertAlign val="subscript"/>
        <sz val="11"/>
        <color theme="1"/>
        <rFont val="Calibri"/>
        <family val="2"/>
        <scheme val="minor"/>
      </rPr>
      <t>part_surface</t>
    </r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</si>
  <si>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</si>
  <si>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C</t>
    </r>
    <r>
      <rPr>
        <vertAlign val="subscript"/>
        <sz val="11"/>
        <color theme="1"/>
        <rFont val="Calibri"/>
        <family val="2"/>
        <scheme val="minor"/>
      </rPr>
      <t>mold/part</t>
    </r>
  </si>
  <si>
    <t>Part projected area</t>
  </si>
  <si>
    <r>
      <t>A</t>
    </r>
    <r>
      <rPr>
        <vertAlign val="subscript"/>
        <sz val="11"/>
        <color theme="1"/>
        <rFont val="Calibri"/>
        <family val="2"/>
        <scheme val="minor"/>
      </rPr>
      <t>projected</t>
    </r>
  </si>
  <si>
    <t>Mold Maintenance Coefficient</t>
  </si>
  <si>
    <r>
      <t>f</t>
    </r>
    <r>
      <rPr>
        <vertAlign val="subscript"/>
        <sz val="11"/>
        <color theme="1"/>
        <rFont val="Calibri"/>
        <family val="2"/>
        <scheme val="minor"/>
      </rPr>
      <t>maintenance</t>
    </r>
  </si>
  <si>
    <t>Injection molding process</t>
  </si>
  <si>
    <t>Type of feed design</t>
  </si>
  <si>
    <r>
      <t>f</t>
    </r>
    <r>
      <rPr>
        <vertAlign val="subscript"/>
        <sz val="11"/>
        <color theme="1"/>
        <rFont val="Calibri"/>
        <family val="2"/>
      </rPr>
      <t>feed_waste</t>
    </r>
  </si>
  <si>
    <r>
      <t>C</t>
    </r>
    <r>
      <rPr>
        <vertAlign val="subscript"/>
        <sz val="11"/>
        <color theme="1"/>
        <rFont val="Calibri"/>
        <family val="2"/>
        <scheme val="minor"/>
      </rPr>
      <t>total_mold</t>
    </r>
  </si>
  <si>
    <t>Cycle efficiency</t>
  </si>
  <si>
    <r>
      <t>f</t>
    </r>
    <r>
      <rPr>
        <vertAlign val="subscript"/>
        <sz val="11"/>
        <color theme="1"/>
        <rFont val="Calibri"/>
        <family val="2"/>
        <scheme val="minor"/>
      </rPr>
      <t>cycle_efficiency</t>
    </r>
  </si>
  <si>
    <t>Mold base cost</t>
  </si>
  <si>
    <r>
      <t>C</t>
    </r>
    <r>
      <rPr>
        <vertAlign val="subscript"/>
        <sz val="11"/>
        <color theme="1"/>
        <rFont val="Calibri"/>
        <family val="2"/>
        <scheme val="minor"/>
      </rPr>
      <t>mold_base</t>
    </r>
  </si>
  <si>
    <t>Machine factor</t>
  </si>
  <si>
    <r>
      <t>f</t>
    </r>
    <r>
      <rPr>
        <vertAlign val="subscript"/>
        <sz val="11"/>
        <color theme="1"/>
        <rFont val="Calibri"/>
        <family val="2"/>
        <scheme val="minor"/>
      </rPr>
      <t>machine</t>
    </r>
  </si>
  <si>
    <t>Mold base metal density</t>
  </si>
  <si>
    <t>Molder profit</t>
  </si>
  <si>
    <t>Mold base metal cost</t>
  </si>
  <si>
    <r>
      <t>κ</t>
    </r>
    <r>
      <rPr>
        <vertAlign val="subscript"/>
        <sz val="11"/>
        <color theme="1"/>
        <rFont val="Calibri"/>
        <family val="2"/>
      </rPr>
      <t>base_metal</t>
    </r>
  </si>
  <si>
    <t>Take-out robot and conveyor</t>
  </si>
  <si>
    <t>Mold base mass</t>
  </si>
  <si>
    <r>
      <t>M</t>
    </r>
    <r>
      <rPr>
        <vertAlign val="subscript"/>
        <sz val="11"/>
        <color theme="1"/>
        <rFont val="Calibri"/>
        <family val="2"/>
      </rPr>
      <t>mold</t>
    </r>
  </si>
  <si>
    <t>kg</t>
  </si>
  <si>
    <t>Hot runner temperature control</t>
  </si>
  <si>
    <t>Mold base length</t>
  </si>
  <si>
    <r>
      <t>L</t>
    </r>
    <r>
      <rPr>
        <vertAlign val="subscript"/>
        <sz val="11"/>
        <color theme="1"/>
        <rFont val="Calibri"/>
        <family val="2"/>
        <scheme val="minor"/>
      </rPr>
      <t>mold</t>
    </r>
  </si>
  <si>
    <t>Gas assist control</t>
  </si>
  <si>
    <t>Mold base width</t>
  </si>
  <si>
    <r>
      <t>W</t>
    </r>
    <r>
      <rPr>
        <vertAlign val="subscript"/>
        <sz val="11"/>
        <color theme="1"/>
        <rFont val="Calibri"/>
        <family val="2"/>
        <scheme val="minor"/>
      </rPr>
      <t>mold</t>
    </r>
  </si>
  <si>
    <t>Injection-compression control</t>
  </si>
  <si>
    <t>Mold base height</t>
  </si>
  <si>
    <r>
      <t>H</t>
    </r>
    <r>
      <rPr>
        <vertAlign val="subscript"/>
        <sz val="11"/>
        <color theme="1"/>
        <rFont val="Calibri"/>
        <family val="2"/>
        <scheme val="minor"/>
      </rPr>
      <t>mold</t>
    </r>
  </si>
  <si>
    <t>Dedicated operator/assembler</t>
  </si>
  <si>
    <t>Cavities cost</t>
  </si>
  <si>
    <r>
      <t>C</t>
    </r>
    <r>
      <rPr>
        <vertAlign val="subscript"/>
        <sz val="11"/>
        <color theme="1"/>
        <rFont val="Calibri"/>
        <family val="2"/>
        <scheme val="minor"/>
      </rPr>
      <t>cavities</t>
    </r>
  </si>
  <si>
    <t>Foaming or induction heating unit</t>
  </si>
  <si>
    <t>Cavity cost</t>
  </si>
  <si>
    <r>
      <t>C</t>
    </r>
    <r>
      <rPr>
        <vertAlign val="subscript"/>
        <sz val="11"/>
        <color theme="1"/>
        <rFont val="Calibri"/>
        <family val="2"/>
        <scheme val="minor"/>
      </rPr>
      <t>cavity</t>
    </r>
  </si>
  <si>
    <t>Two-shot molding machine</t>
  </si>
  <si>
    <t>Cavity material cost</t>
  </si>
  <si>
    <r>
      <t>C</t>
    </r>
    <r>
      <rPr>
        <vertAlign val="subscript"/>
        <sz val="11"/>
        <color theme="1"/>
        <rFont val="Calibri"/>
        <family val="2"/>
        <scheme val="minor"/>
      </rPr>
      <t>cavity_material</t>
    </r>
  </si>
  <si>
    <t>Three-shot molding machine</t>
  </si>
  <si>
    <t>Mold cavity material cost</t>
  </si>
  <si>
    <r>
      <t>κ</t>
    </r>
    <r>
      <rPr>
        <vertAlign val="subscript"/>
        <sz val="11"/>
        <color theme="1"/>
        <rFont val="Calibri"/>
        <family val="2"/>
      </rPr>
      <t>base_material</t>
    </r>
  </si>
  <si>
    <r>
      <t>$/cm</t>
    </r>
    <r>
      <rPr>
        <vertAlign val="superscript"/>
        <sz val="11"/>
        <color theme="1"/>
        <rFont val="Calibri"/>
        <family val="2"/>
        <scheme val="minor"/>
      </rPr>
      <t>3</t>
    </r>
  </si>
  <si>
    <t>Mold</t>
  </si>
  <si>
    <t>Mold cavity volume</t>
  </si>
  <si>
    <r>
      <t>V</t>
    </r>
    <r>
      <rPr>
        <vertAlign val="subscript"/>
        <sz val="11"/>
        <color theme="1"/>
        <rFont val="Calibri"/>
        <family val="2"/>
      </rPr>
      <t>cavity_material</t>
    </r>
  </si>
  <si>
    <t>Number of cavities across the length</t>
  </si>
  <si>
    <r>
      <t>n</t>
    </r>
    <r>
      <rPr>
        <vertAlign val="subscript"/>
        <sz val="11"/>
        <color theme="1"/>
        <rFont val="Calibri"/>
        <family val="2"/>
        <scheme val="minor"/>
      </rPr>
      <t>cavities_length</t>
    </r>
  </si>
  <si>
    <t>Mold cavity length</t>
  </si>
  <si>
    <r>
      <t>L</t>
    </r>
    <r>
      <rPr>
        <vertAlign val="subscript"/>
        <sz val="11"/>
        <color theme="1"/>
        <rFont val="Calibri"/>
        <family val="2"/>
        <scheme val="minor"/>
      </rPr>
      <t>cavity</t>
    </r>
  </si>
  <si>
    <t>Number of cavities across the width</t>
  </si>
  <si>
    <r>
      <t>n</t>
    </r>
    <r>
      <rPr>
        <vertAlign val="subscript"/>
        <sz val="11"/>
        <color theme="1"/>
        <rFont val="Calibri"/>
        <family val="2"/>
        <scheme val="minor"/>
      </rPr>
      <t>cavities_width</t>
    </r>
  </si>
  <si>
    <t>Mold cavity width</t>
  </si>
  <si>
    <r>
      <t>W</t>
    </r>
    <r>
      <rPr>
        <vertAlign val="subscript"/>
        <sz val="11"/>
        <color theme="1"/>
        <rFont val="Calibri"/>
        <family val="2"/>
        <scheme val="minor"/>
      </rPr>
      <t>cavity</t>
    </r>
  </si>
  <si>
    <t>Mold base material</t>
  </si>
  <si>
    <t>Mold cavity height</t>
  </si>
  <si>
    <r>
      <t>H</t>
    </r>
    <r>
      <rPr>
        <vertAlign val="subscript"/>
        <sz val="11"/>
        <color theme="1"/>
        <rFont val="Calibri"/>
        <family val="2"/>
        <scheme val="minor"/>
      </rPr>
      <t>cavity</t>
    </r>
  </si>
  <si>
    <t xml:space="preserve">Mold cavity material </t>
  </si>
  <si>
    <t>Cavity machining cost</t>
  </si>
  <si>
    <r>
      <t>C</t>
    </r>
    <r>
      <rPr>
        <vertAlign val="subscript"/>
        <sz val="11"/>
        <color theme="1"/>
        <rFont val="Calibri"/>
        <family val="2"/>
        <scheme val="minor"/>
      </rPr>
      <t>cavity_machining </t>
    </r>
  </si>
  <si>
    <t>Mold hardness</t>
  </si>
  <si>
    <t>Machining time</t>
  </si>
  <si>
    <r>
      <t>t</t>
    </r>
    <r>
      <rPr>
        <vertAlign val="subscript"/>
        <sz val="11"/>
        <color theme="1"/>
        <rFont val="Calibri"/>
        <family val="2"/>
        <scheme val="minor"/>
      </rPr>
      <t>cavity_machining</t>
    </r>
  </si>
  <si>
    <t>h</t>
  </si>
  <si>
    <t>Machining rate</t>
  </si>
  <si>
    <r>
      <t>R</t>
    </r>
    <r>
      <rPr>
        <vertAlign val="subscript"/>
        <sz val="11"/>
        <color theme="1"/>
        <rFont val="Calibri"/>
        <family val="2"/>
        <scheme val="minor"/>
      </rPr>
      <t>machining_rate</t>
    </r>
  </si>
  <si>
    <t>Volume machining time</t>
  </si>
  <si>
    <r>
      <t>t</t>
    </r>
    <r>
      <rPr>
        <vertAlign val="subscript"/>
        <sz val="11"/>
        <color theme="1"/>
        <rFont val="Calibri"/>
        <family val="2"/>
        <scheme val="minor"/>
      </rPr>
      <t>cavity_volume </t>
    </r>
  </si>
  <si>
    <t>Machining process</t>
  </si>
  <si>
    <t xml:space="preserve">Turning </t>
  </si>
  <si>
    <t>Volumetric mold material machining rate</t>
  </si>
  <si>
    <r>
      <t>R</t>
    </r>
    <r>
      <rPr>
        <vertAlign val="subscript"/>
        <sz val="11"/>
        <color theme="1"/>
        <rFont val="Calibri"/>
        <family val="2"/>
        <scheme val="minor"/>
      </rPr>
      <t>machining</t>
    </r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</si>
  <si>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/h</t>
    </r>
  </si>
  <si>
    <t xml:space="preserve">Drilling </t>
  </si>
  <si>
    <t>Area machining time</t>
  </si>
  <si>
    <r>
      <t>t</t>
    </r>
    <r>
      <rPr>
        <vertAlign val="subscript"/>
        <sz val="11"/>
        <color theme="1"/>
        <rFont val="Calibri"/>
        <family val="2"/>
        <scheme val="minor"/>
      </rPr>
      <t>cavity_area</t>
    </r>
  </si>
  <si>
    <t xml:space="preserve">Milling </t>
  </si>
  <si>
    <t>Area mold material removal rate</t>
  </si>
  <si>
    <r>
      <t>R</t>
    </r>
    <r>
      <rPr>
        <vertAlign val="subscript"/>
        <sz val="11"/>
        <color theme="1"/>
        <rFont val="Calibri"/>
        <family val="2"/>
        <scheme val="minor"/>
      </rPr>
      <t>material_area</t>
    </r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</si>
  <si>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/h</t>
    </r>
  </si>
  <si>
    <t xml:space="preserve">Grinding </t>
  </si>
  <si>
    <t>Cavity complexity factor</t>
  </si>
  <si>
    <r>
      <t>f</t>
    </r>
    <r>
      <rPr>
        <vertAlign val="subscript"/>
        <sz val="11"/>
        <color theme="1"/>
        <rFont val="Calibri"/>
        <family val="2"/>
        <scheme val="minor"/>
      </rPr>
      <t>cavity_complexity</t>
    </r>
  </si>
  <si>
    <t xml:space="preserve">EDM </t>
  </si>
  <si>
    <t>Machining factor</t>
  </si>
  <si>
    <r>
      <t>f</t>
    </r>
    <r>
      <rPr>
        <vertAlign val="subscript"/>
        <sz val="11"/>
        <color theme="1"/>
        <rFont val="Calibri"/>
        <family val="2"/>
        <scheme val="minor"/>
      </rPr>
      <t>machining </t>
    </r>
  </si>
  <si>
    <t>Machining efficiency</t>
  </si>
  <si>
    <r>
      <t>f</t>
    </r>
    <r>
      <rPr>
        <vertAlign val="subscript"/>
        <sz val="11"/>
        <color theme="1"/>
        <rFont val="Calibri"/>
        <family val="2"/>
        <scheme val="minor"/>
      </rPr>
      <t>machining_efficiency </t>
    </r>
  </si>
  <si>
    <t>Cavity finishing cost</t>
  </si>
  <si>
    <r>
      <t>C</t>
    </r>
    <r>
      <rPr>
        <vertAlign val="subscript"/>
        <sz val="11"/>
        <color theme="1"/>
        <rFont val="Calibri"/>
        <family val="2"/>
        <scheme val="minor"/>
      </rPr>
      <t>cavity_finishing</t>
    </r>
  </si>
  <si>
    <t xml:space="preserve">Surface finish </t>
  </si>
  <si>
    <t>Roughness (µm)</t>
  </si>
  <si>
    <t>% surface area</t>
  </si>
  <si>
    <t>Finishing time</t>
  </si>
  <si>
    <r>
      <t>t</t>
    </r>
    <r>
      <rPr>
        <vertAlign val="subscript"/>
        <sz val="11"/>
        <color theme="1"/>
        <rFont val="Calibri"/>
        <family val="2"/>
        <scheme val="minor"/>
      </rPr>
      <t>cavity_finishing</t>
    </r>
  </si>
  <si>
    <t>Texture</t>
  </si>
  <si>
    <t>5–50</t>
  </si>
  <si>
    <t>Customization cost</t>
  </si>
  <si>
    <r>
      <t>C</t>
    </r>
    <r>
      <rPr>
        <vertAlign val="subscript"/>
        <sz val="11"/>
        <color theme="1"/>
        <rFont val="Calibri"/>
        <family val="2"/>
        <scheme val="minor"/>
      </rPr>
      <t>customization</t>
    </r>
  </si>
  <si>
    <t xml:space="preserve">SPI A-1 </t>
  </si>
  <si>
    <t>Cavity customizing coefficient</t>
  </si>
  <si>
    <r>
      <t>f</t>
    </r>
    <r>
      <rPr>
        <vertAlign val="subscript"/>
        <sz val="11"/>
        <color theme="1"/>
        <rFont val="Calibri"/>
        <family val="2"/>
        <scheme val="minor"/>
      </rPr>
      <t>cavity_customizing</t>
    </r>
  </si>
  <si>
    <t xml:space="preserve">SPI A-3 </t>
  </si>
  <si>
    <t>Mold customizing coefficient</t>
  </si>
  <si>
    <r>
      <t>f</t>
    </r>
    <r>
      <rPr>
        <vertAlign val="subscript"/>
        <sz val="11"/>
        <color theme="1"/>
        <rFont val="Calibri"/>
        <family val="2"/>
        <scheme val="minor"/>
      </rPr>
      <t>mold_customizing</t>
    </r>
  </si>
  <si>
    <t xml:space="preserve">SPI B-3 </t>
  </si>
  <si>
    <t xml:space="preserve">SPI C-3 </t>
  </si>
  <si>
    <t xml:space="preserve">SPI D-2 </t>
  </si>
  <si>
    <t xml:space="preserve">SPI D-3 </t>
  </si>
  <si>
    <t>Finishing rate</t>
  </si>
  <si>
    <r>
      <t>R</t>
    </r>
    <r>
      <rPr>
        <vertAlign val="subscript"/>
        <sz val="11"/>
        <color theme="1"/>
        <rFont val="Calibri"/>
        <family val="2"/>
        <scheme val="minor"/>
      </rPr>
      <t>finishing_rate</t>
    </r>
  </si>
  <si>
    <t xml:space="preserve">Feed system design </t>
  </si>
  <si>
    <t xml:space="preserve">Cooling system design </t>
  </si>
  <si>
    <t>Ejector system design</t>
  </si>
  <si>
    <t>Parting surface design</t>
  </si>
  <si>
    <t>Structural system design</t>
  </si>
  <si>
    <t xml:space="preserve">Mold temperature sensors </t>
  </si>
  <si>
    <t xml:space="preserve">Mold pressure sensors </t>
  </si>
  <si>
    <t xml:space="preserve">Gas assist molding </t>
  </si>
  <si>
    <t xml:space="preserve">Runner shut-offs </t>
  </si>
  <si>
    <t xml:space="preserve">Dynamic melt control </t>
  </si>
  <si>
    <t xml:space="preserve">Insert molding </t>
  </si>
  <si>
    <t xml:space="preserve">In-mold labeling </t>
  </si>
  <si>
    <t xml:space="preserve">Two-shot molding </t>
  </si>
  <si>
    <t xml:space="preserve">Three-shot molding </t>
  </si>
  <si>
    <t>Number of Cavities</t>
  </si>
  <si>
    <t>Part Cost</t>
  </si>
  <si>
    <t>Process</t>
  </si>
  <si>
    <t>Total</t>
  </si>
  <si>
    <t>Production Volume</t>
  </si>
  <si>
    <t>Trade name</t>
  </si>
  <si>
    <t>Grade</t>
  </si>
  <si>
    <t>Supplier</t>
  </si>
  <si>
    <t>Approximate cost ($/kg)</t>
  </si>
  <si>
    <r>
      <t>Density at 20°C (kg/m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)</t>
    </r>
  </si>
  <si>
    <t>ABS</t>
  </si>
  <si>
    <t>Cycolac</t>
  </si>
  <si>
    <t>MG47</t>
  </si>
  <si>
    <t>Sabic</t>
  </si>
  <si>
    <t>POM</t>
  </si>
  <si>
    <t>Delrin</t>
  </si>
  <si>
    <t>DuPont</t>
  </si>
  <si>
    <t>PA6</t>
  </si>
  <si>
    <t>Capron</t>
  </si>
  <si>
    <t>BASF</t>
  </si>
  <si>
    <t>PA66</t>
  </si>
  <si>
    <t>Leona</t>
  </si>
  <si>
    <t>Asahi</t>
  </si>
  <si>
    <t>PA66-33%GF</t>
  </si>
  <si>
    <t>14G33</t>
  </si>
  <si>
    <t>PC</t>
  </si>
  <si>
    <t>Lexan</t>
  </si>
  <si>
    <t>121</t>
  </si>
  <si>
    <t>LDPE</t>
  </si>
  <si>
    <t>Lupolen</t>
  </si>
  <si>
    <t>1800H</t>
  </si>
  <si>
    <t>Basell</t>
  </si>
  <si>
    <t>HDPE</t>
  </si>
  <si>
    <t>Alathon</t>
  </si>
  <si>
    <t>5370</t>
  </si>
  <si>
    <t>Equistar</t>
  </si>
  <si>
    <t>PET</t>
  </si>
  <si>
    <t>Eastapak</t>
  </si>
  <si>
    <t>9921</t>
  </si>
  <si>
    <t>Eastman</t>
  </si>
  <si>
    <t>PMMA</t>
  </si>
  <si>
    <t>Plexiglas</t>
  </si>
  <si>
    <t>V052</t>
  </si>
  <si>
    <t>Atohaas</t>
  </si>
  <si>
    <t>PP</t>
  </si>
  <si>
    <t>Inspire</t>
  </si>
  <si>
    <t>702</t>
  </si>
  <si>
    <t>Dow</t>
  </si>
  <si>
    <t>PP-30%GF</t>
  </si>
  <si>
    <t>Nepol</t>
  </si>
  <si>
    <t>GB303HP</t>
  </si>
  <si>
    <t>Borealis</t>
  </si>
  <si>
    <t>PS</t>
  </si>
  <si>
    <t>Styron</t>
  </si>
  <si>
    <t>478</t>
  </si>
  <si>
    <t>PS-30%GF</t>
  </si>
  <si>
    <t>Questra</t>
  </si>
  <si>
    <t>WA212</t>
  </si>
  <si>
    <t>PVC, rigid</t>
  </si>
  <si>
    <t>Geon</t>
  </si>
  <si>
    <t>M3000</t>
  </si>
  <si>
    <t>PolyOne</t>
  </si>
  <si>
    <t>PVC, soft</t>
  </si>
  <si>
    <t>C9000</t>
  </si>
  <si>
    <t xml:space="preserve">Table 3.3 Material Waste Coefficient </t>
  </si>
  <si>
    <t xml:space="preserve">Type of feed design </t>
  </si>
  <si>
    <r>
      <t>Feed system waste factor, f</t>
    </r>
    <r>
      <rPr>
        <b/>
        <vertAlign val="subscript"/>
        <sz val="11"/>
        <color theme="0"/>
        <rFont val="Calibri"/>
        <family val="2"/>
        <scheme val="minor"/>
      </rPr>
      <t>feed_waste</t>
    </r>
  </si>
  <si>
    <t xml:space="preserve">Cold runner </t>
  </si>
  <si>
    <t xml:space="preserve">Cold runner, fully utilizing regrind </t>
  </si>
  <si>
    <t xml:space="preserve">Hot runner with short runs </t>
  </si>
  <si>
    <t xml:space="preserve">Hot runner with long runs </t>
  </si>
  <si>
    <t xml:space="preserve">Table 3.4 Cycle efficiency coefficient </t>
  </si>
  <si>
    <t>Type of feed system and mold operation</t>
  </si>
  <si>
    <r>
      <t>Cycle efficiency factor, f</t>
    </r>
    <r>
      <rPr>
        <b/>
        <vertAlign val="subscript"/>
        <sz val="11"/>
        <color theme="0"/>
        <rFont val="Calibri"/>
        <family val="2"/>
        <scheme val="minor"/>
      </rPr>
      <t>cycle_efficiency</t>
    </r>
    <r>
      <rPr>
        <b/>
        <sz val="11"/>
        <color theme="0"/>
        <rFont val="Calibri"/>
        <family val="2"/>
        <scheme val="minor"/>
      </rPr>
      <t>, cold runner</t>
    </r>
  </si>
  <si>
    <t>Cold runner - semiautomatic molding with operator removal of molded parts</t>
  </si>
  <si>
    <t>Cold runner - semiautomatic molding with gravity drop or high speed robotic take-out</t>
  </si>
  <si>
    <t xml:space="preserve">Cold runner - fully automatic molding </t>
  </si>
  <si>
    <t>Hot runner - semiautomatic molding with operator removal of molded parts</t>
  </si>
  <si>
    <t>Hot runner - semiautomatic molding with gravity drop or high speed robotic take-out</t>
  </si>
  <si>
    <t xml:space="preserve">Hot runner - fully automatic molding </t>
  </si>
  <si>
    <t>Table 3.5 Molding Machine Capability</t>
  </si>
  <si>
    <t xml:space="preserve">Type of molding machine and labor required </t>
  </si>
  <si>
    <r>
      <t>Machine factor, f</t>
    </r>
    <r>
      <rPr>
        <b/>
        <vertAlign val="subscript"/>
        <sz val="11"/>
        <color theme="0"/>
        <rFont val="Calibri"/>
        <family val="2"/>
        <scheme val="minor"/>
      </rPr>
      <t>machine</t>
    </r>
  </si>
  <si>
    <t xml:space="preserve">Old hydraulic machine (purchased before 1985) without operator or profit </t>
  </si>
  <si>
    <t>Standard hydraulic machine or older electric machine (before 1998) operator or profit</t>
  </si>
  <si>
    <t xml:space="preserve">Modern electric machine without operator or profit </t>
  </si>
  <si>
    <t xml:space="preserve">Table 3.6 Yield Estimates </t>
  </si>
  <si>
    <t>Low</t>
  </si>
  <si>
    <t>High</t>
  </si>
  <si>
    <t>Table 3.7 Mold Material Cost Coefficients</t>
  </si>
  <si>
    <t xml:space="preserve">Material </t>
  </si>
  <si>
    <t xml:space="preserve">Similar commodity </t>
  </si>
  <si>
    <t>Mold metal cost coefficient (US$/kg)</t>
  </si>
  <si>
    <t>Density (kg/m3)</t>
  </si>
  <si>
    <t>Hardness</t>
  </si>
  <si>
    <t xml:space="preserve">Alcoa QC10 </t>
  </si>
  <si>
    <t xml:space="preserve">7075-T651 </t>
  </si>
  <si>
    <t>~160 Bhn</t>
  </si>
  <si>
    <t xml:space="preserve">DME #1 </t>
  </si>
  <si>
    <t>SAE 1030  </t>
  </si>
  <si>
    <t>~180 Bhn</t>
  </si>
  <si>
    <t xml:space="preserve">DME #2 </t>
  </si>
  <si>
    <t>AISI 4130  </t>
  </si>
  <si>
    <t>~290 Bhn</t>
  </si>
  <si>
    <t xml:space="preserve">DME #3 </t>
  </si>
  <si>
    <t>AISI P20  </t>
  </si>
  <si>
    <t>~310 Bhn</t>
  </si>
  <si>
    <t xml:space="preserve">DME #7 </t>
  </si>
  <si>
    <t xml:space="preserve">AISI 400 </t>
  </si>
  <si>
    <t>~330 Bhn</t>
  </si>
  <si>
    <t>Appendix B: Mold Material Properties</t>
  </si>
  <si>
    <t xml:space="preserve">Mold material </t>
  </si>
  <si>
    <t xml:space="preserve">Cost ($/cm3) </t>
  </si>
  <si>
    <t>Volume machine rate (m3/h)</t>
  </si>
  <si>
    <t>Area machine rate (m2/h)</t>
  </si>
  <si>
    <t xml:space="preserve">Al 7075-T6 </t>
  </si>
  <si>
    <t xml:space="preserve">Al QC-10 Alloy </t>
  </si>
  <si>
    <t>Cu 17200</t>
  </si>
  <si>
    <t>P20</t>
  </si>
  <si>
    <t xml:space="preserve">A6 </t>
  </si>
  <si>
    <t xml:space="preserve">D2 </t>
  </si>
  <si>
    <t xml:space="preserve">H13 </t>
  </si>
  <si>
    <t xml:space="preserve">S7 </t>
  </si>
  <si>
    <t>SS420</t>
  </si>
  <si>
    <t>Table 3.9 Machining Factor for Various Processes</t>
  </si>
  <si>
    <t xml:space="preserve">Machining process </t>
  </si>
  <si>
    <t>Table 3.12 Feed System Cost Coefficients</t>
  </si>
  <si>
    <t>Cavity cost coefficient</t>
  </si>
  <si>
    <t>Mold cost coefficient</t>
  </si>
  <si>
    <t xml:space="preserve">Two-plate cold runner system </t>
  </si>
  <si>
    <t xml:space="preserve">Three-plate cold runner system </t>
  </si>
  <si>
    <t xml:space="preserve">Hot runner system with thermal gate </t>
  </si>
  <si>
    <t xml:space="preserve">Hot runner system with valve gates </t>
  </si>
  <si>
    <t>Hot runner stack mold with thermal gates</t>
  </si>
  <si>
    <t xml:space="preserve">Hot runner stack mold with valve gates </t>
  </si>
  <si>
    <t>Table 3.13 Cooling System Cost Coefficients</t>
  </si>
  <si>
    <t xml:space="preserve">Straight lines with O-rings and fittings </t>
  </si>
  <si>
    <t xml:space="preserve">Straight lines with bubblers or baffles, O-rings, and fittings </t>
  </si>
  <si>
    <t>Circuitous cooling lines with O-rings, plugs, and fittings</t>
  </si>
  <si>
    <t>Circuitous cooling lines with bubblers or baffles, O-rings, plugs, and fittings</t>
  </si>
  <si>
    <t>Complex cooling line layout with thermally conductive inserts or contoured cooling inserts</t>
  </si>
  <si>
    <t xml:space="preserve">Table 3.14 Ejector System Cost Coefficients </t>
  </si>
  <si>
    <t xml:space="preserve">Round ejector pins </t>
  </si>
  <si>
    <t>Mix of round ejector pins, blades, and sleeves</t>
  </si>
  <si>
    <t xml:space="preserve">Stripper plate </t>
  </si>
  <si>
    <t xml:space="preserve">External slide or lifter </t>
  </si>
  <si>
    <t xml:space="preserve">Internal slide or lifter </t>
  </si>
  <si>
    <t xml:space="preserve">Actuated core pull </t>
  </si>
  <si>
    <t xml:space="preserve">Reverse ejection system </t>
  </si>
  <si>
    <t>Table 3.15 Structural System Cost Coefficients</t>
  </si>
  <si>
    <t>No additional support structures and planar mold parting surface</t>
  </si>
  <si>
    <t xml:space="preserve">Multistepped parting surface </t>
  </si>
  <si>
    <t xml:space="preserve">Complex contoured parting surface </t>
  </si>
  <si>
    <t xml:space="preserve">Support pillars </t>
  </si>
  <si>
    <t xml:space="preserve">Support pillars and interlocks </t>
  </si>
  <si>
    <t xml:space="preserve">Split cavity mold </t>
  </si>
  <si>
    <t xml:space="preserve">Table 3.16 Other Customization Cost Coefficients </t>
  </si>
  <si>
    <t>Required mold customization</t>
  </si>
  <si>
    <t>Table 3.2 Mold Maintenance Coefficient</t>
  </si>
  <si>
    <t>Unfilled, low viscosity plastic</t>
  </si>
  <si>
    <t>High viscosity or particulate filled plastic</t>
  </si>
  <si>
    <t>High viscosity and fiber filled plastic</t>
  </si>
  <si>
    <t>Soft mold material, such as aluminum or mild steel</t>
  </si>
  <si>
    <t>Standard mold steel, such as P20</t>
  </si>
  <si>
    <t>Hardened surface or tool steel, such as H13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</si>
</sst>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"/>
    <numFmt numFmtId="167" formatCode="[$$-409]#,##0.000"/>
    <numFmt numFmtId="168" formatCode="[$$-409]#,##0"/>
  </numFmts>
  <fonts count="1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3">
    <xf numFmtId="0" fontId="0" fillId="0" borderId="0" xfId="0"/>
    <xf numFmtId="49" fontId="0" fillId="0" borderId="0" xfId="0" applyNumberFormat="1" applyAlignment="1">
      <alignment horizontal="center" vertical="center" wrapText="1"/>
    </xf>
    <xf numFmtId="2" fontId="0" fillId="0" borderId="0" xfId="0" applyNumberForma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Alignment="1">
      <alignment vertical="center"/>
    </xf>
    <xf numFmtId="49" fontId="1" fillId="2" borderId="4" xfId="0" applyNumberFormat="1" applyFont="1" applyFill="1" applyBorder="1" applyAlignment="1">
      <alignment horizontal="center" vertical="center" wrapText="1"/>
    </xf>
    <xf numFmtId="49" fontId="1" fillId="2" borderId="5" xfId="0" applyNumberFormat="1" applyFont="1" applyFill="1" applyBorder="1" applyAlignment="1">
      <alignment horizontal="center" vertical="center" wrapText="1"/>
    </xf>
    <xf numFmtId="49" fontId="1" fillId="2" borderId="6" xfId="0" applyNumberFormat="1" applyFont="1" applyFill="1" applyBorder="1" applyAlignment="1">
      <alignment horizontal="center" vertical="center" wrapText="1"/>
    </xf>
    <xf numFmtId="0" fontId="0" fillId="3" borderId="4" xfId="0" applyFill="1" applyBorder="1"/>
    <xf numFmtId="0" fontId="0" fillId="3" borderId="5" xfId="0" applyFill="1" applyBorder="1"/>
    <xf numFmtId="49" fontId="0" fillId="3" borderId="5" xfId="0" applyNumberFormat="1" applyFill="1" applyBorder="1"/>
    <xf numFmtId="2" fontId="0" fillId="3" borderId="5" xfId="0" applyNumberFormat="1" applyFill="1" applyBorder="1"/>
    <xf numFmtId="0" fontId="0" fillId="3" borderId="6" xfId="0" applyFill="1" applyBorder="1"/>
    <xf numFmtId="0" fontId="0" fillId="0" borderId="4" xfId="0" applyBorder="1"/>
    <xf numFmtId="0" fontId="0" fillId="0" borderId="5" xfId="0" applyBorder="1"/>
    <xf numFmtId="49" fontId="0" fillId="0" borderId="5" xfId="0" applyNumberFormat="1" applyBorder="1"/>
    <xf numFmtId="2" fontId="0" fillId="0" borderId="5" xfId="0" applyNumberFormat="1" applyBorder="1"/>
    <xf numFmtId="0" fontId="0" fillId="0" borderId="6" xfId="0" applyBorder="1"/>
    <xf numFmtId="49" fontId="0" fillId="0" borderId="2" xfId="0" applyNumberFormat="1" applyBorder="1"/>
    <xf numFmtId="2" fontId="0" fillId="0" borderId="2" xfId="0" applyNumberFormat="1" applyBorder="1"/>
    <xf numFmtId="0" fontId="1" fillId="2" borderId="0" xfId="0" applyFont="1" applyFill="1"/>
    <xf numFmtId="0" fontId="0" fillId="3" borderId="0" xfId="0" applyFill="1"/>
    <xf numFmtId="0" fontId="1" fillId="2" borderId="4" xfId="0" applyFont="1" applyFill="1" applyBorder="1" applyAlignment="1">
      <alignment wrapText="1"/>
    </xf>
    <xf numFmtId="0" fontId="1" fillId="2" borderId="6" xfId="0" applyFont="1" applyFill="1" applyBorder="1" applyAlignment="1">
      <alignment wrapText="1"/>
    </xf>
    <xf numFmtId="0" fontId="0" fillId="3" borderId="4" xfId="0" applyFill="1" applyBorder="1" applyAlignment="1">
      <alignment wrapText="1"/>
    </xf>
    <xf numFmtId="2" fontId="0" fillId="3" borderId="6" xfId="0" applyNumberFormat="1" applyFill="1" applyBorder="1"/>
    <xf numFmtId="0" fontId="0" fillId="0" borderId="4" xfId="0" applyBorder="1" applyAlignment="1">
      <alignment wrapText="1"/>
    </xf>
    <xf numFmtId="2" fontId="0" fillId="0" borderId="6" xfId="0" applyNumberFormat="1" applyBorder="1"/>
    <xf numFmtId="0" fontId="0" fillId="0" borderId="1" xfId="0" applyBorder="1" applyAlignment="1">
      <alignment wrapText="1"/>
    </xf>
    <xf numFmtId="2" fontId="0" fillId="0" borderId="3" xfId="0" applyNumberFormat="1" applyBorder="1"/>
    <xf numFmtId="0" fontId="8" fillId="0" borderId="0" xfId="0" applyFont="1" applyAlignment="1">
      <alignment vertical="center"/>
    </xf>
    <xf numFmtId="164" fontId="0" fillId="4" borderId="0" xfId="0" applyNumberFormat="1" applyFill="1"/>
    <xf numFmtId="166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0" fontId="1" fillId="2" borderId="4" xfId="0" applyFont="1" applyFill="1" applyBorder="1" applyAlignment="1">
      <alignment vertical="center" wrapText="1"/>
    </xf>
    <xf numFmtId="0" fontId="1" fillId="2" borderId="6" xfId="0" applyFont="1" applyFill="1" applyBorder="1" applyAlignment="1">
      <alignment vertical="center" wrapText="1"/>
    </xf>
    <xf numFmtId="166" fontId="0" fillId="3" borderId="6" xfId="0" applyNumberFormat="1" applyFill="1" applyBorder="1"/>
    <xf numFmtId="166" fontId="0" fillId="0" borderId="6" xfId="0" applyNumberFormat="1" applyBorder="1"/>
    <xf numFmtId="0" fontId="0" fillId="0" borderId="0" xfId="0" applyAlignment="1">
      <alignment horizontal="right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2" borderId="6" xfId="0" applyFont="1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2" fillId="0" borderId="0" xfId="0" applyFont="1" applyAlignment="1">
      <alignment vertical="center"/>
    </xf>
    <xf numFmtId="164" fontId="0" fillId="4" borderId="0" xfId="0" applyNumberForma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/>
    <xf numFmtId="0" fontId="0" fillId="0" borderId="10" xfId="0" applyBorder="1" applyAlignment="1">
      <alignment vertical="center"/>
    </xf>
    <xf numFmtId="0" fontId="0" fillId="0" borderId="11" xfId="0" applyBorder="1"/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3" xfId="0" applyBorder="1"/>
    <xf numFmtId="0" fontId="8" fillId="0" borderId="8" xfId="0" applyFont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/>
    </xf>
    <xf numFmtId="0" fontId="0" fillId="5" borderId="9" xfId="0" applyFill="1" applyBorder="1" applyAlignment="1">
      <alignment vertical="center"/>
    </xf>
    <xf numFmtId="0" fontId="0" fillId="5" borderId="11" xfId="0" applyFill="1" applyBorder="1" applyAlignment="1">
      <alignment vertical="center"/>
    </xf>
    <xf numFmtId="0" fontId="0" fillId="5" borderId="14" xfId="0" applyFill="1" applyBorder="1" applyAlignment="1">
      <alignment vertical="center"/>
    </xf>
    <xf numFmtId="0" fontId="3" fillId="0" borderId="0" xfId="0" applyFont="1"/>
    <xf numFmtId="0" fontId="0" fillId="5" borderId="11" xfId="0" applyFill="1" applyBorder="1"/>
    <xf numFmtId="0" fontId="0" fillId="5" borderId="14" xfId="0" applyFill="1" applyBorder="1"/>
    <xf numFmtId="1" fontId="0" fillId="0" borderId="0" xfId="0" applyNumberFormat="1" applyAlignment="1">
      <alignment vertical="center"/>
    </xf>
    <xf numFmtId="49" fontId="0" fillId="3" borderId="4" xfId="0" applyNumberFormat="1" applyFill="1" applyBorder="1" applyAlignment="1">
      <alignment vertical="center"/>
    </xf>
    <xf numFmtId="49" fontId="0" fillId="0" borderId="4" xfId="0" applyNumberFormat="1" applyBorder="1" applyAlignment="1">
      <alignment vertical="center"/>
    </xf>
    <xf numFmtId="49" fontId="0" fillId="3" borderId="1" xfId="0" applyNumberFormat="1" applyFill="1" applyBorder="1" applyAlignment="1">
      <alignment vertical="center"/>
    </xf>
    <xf numFmtId="165" fontId="0" fillId="3" borderId="4" xfId="0" applyNumberFormat="1" applyFill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3" borderId="1" xfId="0" applyNumberFormat="1" applyFill="1" applyBorder="1" applyAlignment="1">
      <alignment vertical="center"/>
    </xf>
    <xf numFmtId="164" fontId="0" fillId="3" borderId="6" xfId="0" applyNumberFormat="1" applyFill="1" applyBorder="1" applyAlignment="1">
      <alignment vertical="center"/>
    </xf>
    <xf numFmtId="164" fontId="0" fillId="0" borderId="6" xfId="0" applyNumberFormat="1" applyBorder="1" applyAlignment="1">
      <alignment vertical="center"/>
    </xf>
    <xf numFmtId="164" fontId="0" fillId="3" borderId="3" xfId="0" applyNumberFormat="1" applyFill="1" applyBorder="1" applyAlignment="1">
      <alignment vertical="center"/>
    </xf>
    <xf numFmtId="1" fontId="3" fillId="0" borderId="0" xfId="0" applyNumberFormat="1" applyFont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2" fontId="0" fillId="3" borderId="5" xfId="0" applyNumberFormat="1" applyFill="1" applyBorder="1" applyAlignment="1">
      <alignment horizontal="right" vertical="center"/>
    </xf>
    <xf numFmtId="2" fontId="0" fillId="0" borderId="5" xfId="0" applyNumberFormat="1" applyBorder="1" applyAlignment="1">
      <alignment horizontal="right" vertical="center"/>
    </xf>
    <xf numFmtId="2" fontId="0" fillId="0" borderId="2" xfId="0" applyNumberFormat="1" applyBorder="1" applyAlignment="1">
      <alignment horizontal="right" vertical="center"/>
    </xf>
    <xf numFmtId="166" fontId="0" fillId="3" borderId="6" xfId="0" applyNumberFormat="1" applyFill="1" applyBorder="1" applyAlignment="1">
      <alignment horizontal="right" vertical="center"/>
    </xf>
    <xf numFmtId="166" fontId="0" fillId="0" borderId="6" xfId="0" applyNumberFormat="1" applyBorder="1" applyAlignment="1">
      <alignment horizontal="right" vertical="center"/>
    </xf>
    <xf numFmtId="166" fontId="0" fillId="0" borderId="3" xfId="0" applyNumberFormat="1" applyBorder="1" applyAlignment="1">
      <alignment horizontal="right" vertical="center"/>
    </xf>
    <xf numFmtId="0" fontId="0" fillId="0" borderId="14" xfId="0" applyBorder="1"/>
    <xf numFmtId="3" fontId="0" fillId="5" borderId="11" xfId="0" applyNumberFormat="1" applyFill="1" applyBorder="1" applyAlignment="1">
      <alignment vertical="center"/>
    </xf>
    <xf numFmtId="0" fontId="0" fillId="0" borderId="7" xfId="0" applyBorder="1"/>
    <xf numFmtId="0" fontId="0" fillId="0" borderId="12" xfId="0" applyBorder="1"/>
    <xf numFmtId="3" fontId="0" fillId="4" borderId="0" xfId="0" applyNumberFormat="1" applyFill="1" applyAlignment="1">
      <alignment vertic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0" borderId="10" xfId="0" applyBorder="1"/>
    <xf numFmtId="9" fontId="0" fillId="0" borderId="0" xfId="0" applyNumberFormat="1" applyAlignment="1">
      <alignment vertical="center"/>
    </xf>
    <xf numFmtId="0" fontId="2" fillId="0" borderId="13" xfId="0" applyFont="1" applyBorder="1" applyAlignment="1">
      <alignment vertical="center"/>
    </xf>
    <xf numFmtId="167" fontId="0" fillId="4" borderId="13" xfId="0" applyNumberFormat="1" applyFill="1" applyBorder="1" applyAlignment="1">
      <alignment vertical="center"/>
    </xf>
    <xf numFmtId="168" fontId="0" fillId="4" borderId="13" xfId="0" applyNumberFormat="1" applyFill="1" applyBorder="1" applyAlignment="1">
      <alignment vertical="center"/>
    </xf>
    <xf numFmtId="0" fontId="0" fillId="0" borderId="8" xfId="0" applyBorder="1"/>
    <xf numFmtId="0" fontId="0" fillId="5" borderId="9" xfId="0" applyFill="1" applyBorder="1"/>
    <xf numFmtId="9" fontId="0" fillId="5" borderId="11" xfId="0" applyNumberFormat="1" applyFill="1" applyBorder="1"/>
    <xf numFmtId="0" fontId="0" fillId="0" borderId="0" xfId="0" applyAlignment="1">
      <alignment horizontal="center" vertical="center"/>
    </xf>
    <xf numFmtId="1" fontId="0" fillId="5" borderId="11" xfId="0" applyNumberFormat="1" applyFill="1" applyBorder="1"/>
    <xf numFmtId="0" fontId="3" fillId="0" borderId="13" xfId="0" applyFont="1" applyBorder="1"/>
    <xf numFmtId="1" fontId="0" fillId="5" borderId="14" xfId="0" applyNumberFormat="1" applyFill="1" applyBorder="1"/>
    <xf numFmtId="0" fontId="2" fillId="0" borderId="10" xfId="0" applyFont="1" applyBorder="1" applyAlignment="1">
      <alignment vertical="center"/>
    </xf>
    <xf numFmtId="0" fontId="0" fillId="5" borderId="8" xfId="0" applyFill="1" applyBorder="1" applyAlignment="1">
      <alignment horizontal="center" vertical="center" wrapText="1"/>
    </xf>
    <xf numFmtId="0" fontId="0" fillId="0" borderId="15" xfId="0" applyBorder="1"/>
    <xf numFmtId="0" fontId="0" fillId="0" borderId="16" xfId="0" applyBorder="1" applyAlignment="1">
      <alignment vertical="center"/>
    </xf>
    <xf numFmtId="166" fontId="0" fillId="0" borderId="17" xfId="0" applyNumberFormat="1" applyBorder="1"/>
    <xf numFmtId="0" fontId="0" fillId="0" borderId="18" xfId="0" applyBorder="1"/>
    <xf numFmtId="166" fontId="0" fillId="0" borderId="19" xfId="0" applyNumberFormat="1" applyBorder="1"/>
    <xf numFmtId="0" fontId="0" fillId="0" borderId="20" xfId="0" applyBorder="1"/>
    <xf numFmtId="0" fontId="0" fillId="0" borderId="21" xfId="0" applyBorder="1" applyAlignment="1">
      <alignment vertical="center"/>
    </xf>
    <xf numFmtId="166" fontId="0" fillId="0" borderId="22" xfId="0" applyNumberFormat="1" applyBorder="1"/>
    <xf numFmtId="0" fontId="0" fillId="0" borderId="22" xfId="0" applyBorder="1"/>
    <xf numFmtId="0" fontId="1" fillId="2" borderId="0" xfId="0" applyFont="1" applyFill="1" applyAlignment="1">
      <alignment vertical="center"/>
    </xf>
    <xf numFmtId="2" fontId="0" fillId="3" borderId="5" xfId="0" applyNumberFormat="1" applyFill="1" applyBorder="1" applyAlignment="1">
      <alignment vertical="center"/>
    </xf>
    <xf numFmtId="2" fontId="0" fillId="0" borderId="5" xfId="0" applyNumberFormat="1" applyBorder="1" applyAlignment="1">
      <alignment vertical="center"/>
    </xf>
    <xf numFmtId="2" fontId="0" fillId="3" borderId="2" xfId="0" applyNumberFormat="1" applyFill="1" applyBorder="1" applyAlignment="1">
      <alignment vertical="center"/>
    </xf>
    <xf numFmtId="0" fontId="10" fillId="0" borderId="0" xfId="0" applyFont="1"/>
    <xf numFmtId="1" fontId="10" fillId="0" borderId="0" xfId="0" applyNumberFormat="1" applyFont="1"/>
    <xf numFmtId="1" fontId="0" fillId="4" borderId="0" xfId="0" applyNumberFormat="1" applyFill="1" applyAlignment="1">
      <alignment vertical="center"/>
    </xf>
    <xf numFmtId="0" fontId="0" fillId="0" borderId="10" xfId="0" applyBorder="1" applyAlignment="1">
      <alignment horizontal="left" vertical="center"/>
    </xf>
  </cellXfs>
  <cellStyles count="1">
    <cellStyle name="Normale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5683804751857"/>
          <c:y val="3.9151601334125145E-2"/>
          <c:w val="0.84336921693458189"/>
          <c:h val="0.8071487965436731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'Cost vs. N. of Cavities '!$N$1</c:f>
              <c:strCache>
                <c:ptCount val="1"/>
                <c:pt idx="0">
                  <c:v>Part Cost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'Cost vs. N. of Cavities '!$M$2:$M$9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16</c:v>
                </c:pt>
              </c:numCache>
            </c:numRef>
          </c:xVal>
          <c:yVal>
            <c:numRef>
              <c:f>'Cost vs. N. of Cavities '!$N$2:$N$9</c:f>
              <c:numCache>
                <c:formatCode>General</c:formatCode>
                <c:ptCount val="8"/>
                <c:pt idx="0">
                  <c:v>0.34539498695154608</c:v>
                </c:pt>
                <c:pt idx="1">
                  <c:v>0.21845841939132052</c:v>
                </c:pt>
                <c:pt idx="2">
                  <c:v>0.15764272987943129</c:v>
                </c:pt>
                <c:pt idx="3">
                  <c:v>0.1396251392475</c:v>
                </c:pt>
                <c:pt idx="4">
                  <c:v>0.13225575067994924</c:v>
                </c:pt>
                <c:pt idx="5">
                  <c:v>0.12911976313840734</c:v>
                </c:pt>
                <c:pt idx="6">
                  <c:v>0.12808501115111237</c:v>
                </c:pt>
                <c:pt idx="7">
                  <c:v>0.13002045601117723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DC-41A9-BF5F-34793F513FEC}"/>
            </c:ext>
          </c:extLst>
        </c:ser>
        <c:ser>
          <c:idx val="1"/>
          <c:order val="1"/>
          <c:tx>
            <c:strRef>
              <c:f>'Cost vs. N. of Cavities '!$O$1</c:f>
              <c:strCache>
                <c:ptCount val="1"/>
                <c:pt idx="0">
                  <c:v>Material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'Cost vs. N. of Cavities '!$M$2:$M$9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16</c:v>
                </c:pt>
              </c:numCache>
            </c:numRef>
          </c:xVal>
          <c:yVal>
            <c:numRef>
              <c:f>'Cost vs. N. of Cavities '!$O$2:$O$9</c:f>
              <c:numCache>
                <c:formatCode>General</c:formatCode>
                <c:ptCount val="8"/>
                <c:pt idx="0">
                  <c:v>4.8460809600000002E-2</c:v>
                </c:pt>
                <c:pt idx="1">
                  <c:v>4.8460809600000002E-2</c:v>
                </c:pt>
                <c:pt idx="2">
                  <c:v>4.8460809600000002E-2</c:v>
                </c:pt>
                <c:pt idx="3">
                  <c:v>4.8460809600000002E-2</c:v>
                </c:pt>
                <c:pt idx="4">
                  <c:v>4.8460809600000002E-2</c:v>
                </c:pt>
                <c:pt idx="5">
                  <c:v>4.8460809600000002E-2</c:v>
                </c:pt>
                <c:pt idx="6">
                  <c:v>4.8460809600000002E-2</c:v>
                </c:pt>
                <c:pt idx="7">
                  <c:v>4.8460809600000002E-2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DC-41A9-BF5F-34793F513FEC}"/>
            </c:ext>
          </c:extLst>
        </c:ser>
        <c:ser>
          <c:idx val="2"/>
          <c:order val="2"/>
          <c:tx>
            <c:strRef>
              <c:f>'Cost vs. N. of Cavities '!$P$1</c:f>
              <c:strCache>
                <c:ptCount val="1"/>
                <c:pt idx="0">
                  <c:v>Process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'Cost vs. N. of Cavities '!$M$2:$M$9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16</c:v>
                </c:pt>
              </c:numCache>
            </c:numRef>
          </c:xVal>
          <c:yVal>
            <c:numRef>
              <c:f>'Cost vs. N. of Cavities '!$P$2:$P$9</c:f>
              <c:numCache>
                <c:formatCode>General</c:formatCode>
                <c:ptCount val="8"/>
                <c:pt idx="0">
                  <c:v>0.28376030666666668</c:v>
                </c:pt>
                <c:pt idx="1">
                  <c:v>0.15746863999999999</c:v>
                </c:pt>
                <c:pt idx="2">
                  <c:v>9.4322806666666661E-2</c:v>
                </c:pt>
                <c:pt idx="3">
                  <c:v>7.3274195555555574E-2</c:v>
                </c:pt>
                <c:pt idx="4">
                  <c:v>6.2749890000000003E-2</c:v>
                </c:pt>
                <c:pt idx="5">
                  <c:v>5.6435306666666671E-2</c:v>
                </c:pt>
                <c:pt idx="6">
                  <c:v>5.2225584444444452E-2</c:v>
                </c:pt>
                <c:pt idx="7">
                  <c:v>4.6963431666666673E-2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DC-41A9-BF5F-34793F513FEC}"/>
            </c:ext>
          </c:extLst>
        </c:ser>
        <c:ser>
          <c:idx val="3"/>
          <c:order val="3"/>
          <c:tx>
            <c:strRef>
              <c:f>'Cost vs. N. of Cavities '!$Q$1</c:f>
              <c:strCache>
                <c:ptCount val="1"/>
                <c:pt idx="0">
                  <c:v>Mold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'Cost vs. N. of Cavities '!$M$2:$M$9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16</c:v>
                </c:pt>
              </c:numCache>
            </c:numRef>
          </c:xVal>
          <c:yVal>
            <c:numRef>
              <c:f>'Cost vs. N. of Cavities '!$Q$2:$Q$9</c:f>
              <c:numCache>
                <c:formatCode>General</c:formatCode>
                <c:ptCount val="8"/>
                <c:pt idx="0">
                  <c:v>6.2659709458484812E-3</c:v>
                </c:pt>
                <c:pt idx="1">
                  <c:v>8.1598014034941317E-3</c:v>
                </c:pt>
                <c:pt idx="2">
                  <c:v>1.1706259015175987E-2</c:v>
                </c:pt>
                <c:pt idx="3">
                  <c:v>1.5097631306994441E-2</c:v>
                </c:pt>
                <c:pt idx="4">
                  <c:v>1.839993606635025E-2</c:v>
                </c:pt>
                <c:pt idx="5">
                  <c:v>2.1641251608972508E-2</c:v>
                </c:pt>
                <c:pt idx="6">
                  <c:v>2.4836916883645675E-2</c:v>
                </c:pt>
                <c:pt idx="7">
                  <c:v>3.1995805624286992E-2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E-4CC1-A52B-FAD1E18E3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101679"/>
        <c:axId val="1121143231"/>
      </c:scatterChart>
      <c:valAx>
        <c:axId val="1121101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Number of Cavities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21143231"/>
        <c:crosses val="autoZero"/>
        <c:crossBetween val="midCat"/>
      </c:valAx>
      <c:valAx>
        <c:axId val="112114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Part 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211016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1181847857631"/>
          <c:y val="0.1520836527070796"/>
          <c:w val="0.1078804766917673"/>
          <c:h val="0.167747863956994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5683804751857"/>
          <c:y val="3.9151601334125145E-2"/>
          <c:w val="0.84336921693458189"/>
          <c:h val="0.8071487965436731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'Cost vs. Production Vol.'!$K$1</c:f>
              <c:strCache>
                <c:ptCount val="1"/>
                <c:pt idx="0">
                  <c:v>Part Cost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'Cost vs. Production Vol.'!$J$2:$J$17</c:f>
              <c:numCache>
                <c:formatCode>0</c:formatCode>
                <c:ptCount val="16"/>
                <c:pt idx="0">
                  <c:v>10000</c:v>
                </c:pt>
                <c:pt idx="1">
                  <c:v>15000</c:v>
                </c:pt>
                <c:pt idx="2">
                  <c:v>22500</c:v>
                </c:pt>
                <c:pt idx="3">
                  <c:v>33750</c:v>
                </c:pt>
                <c:pt idx="4">
                  <c:v>50625</c:v>
                </c:pt>
                <c:pt idx="5">
                  <c:v>75937.5</c:v>
                </c:pt>
                <c:pt idx="6">
                  <c:v>113906.25</c:v>
                </c:pt>
                <c:pt idx="7">
                  <c:v>170859.375</c:v>
                </c:pt>
                <c:pt idx="8">
                  <c:v>256289.0625</c:v>
                </c:pt>
                <c:pt idx="9">
                  <c:v>384433.59375</c:v>
                </c:pt>
                <c:pt idx="10">
                  <c:v>576650.390625</c:v>
                </c:pt>
                <c:pt idx="11">
                  <c:v>864975.5859375</c:v>
                </c:pt>
                <c:pt idx="12">
                  <c:v>1297463.37890625</c:v>
                </c:pt>
                <c:pt idx="13">
                  <c:v>1946195.068359375</c:v>
                </c:pt>
                <c:pt idx="14">
                  <c:v>2919292.6025390625</c:v>
                </c:pt>
                <c:pt idx="15">
                  <c:v>4378938.9038085938</c:v>
                </c:pt>
              </c:numCache>
            </c:numRef>
          </c:xVal>
          <c:yVal>
            <c:numRef>
              <c:f>'Cost vs. Production Vol.'!$K$2:$K$17</c:f>
              <c:numCache>
                <c:formatCode>General</c:formatCode>
                <c:ptCount val="16"/>
                <c:pt idx="0">
                  <c:v>0.62245085442192261</c:v>
                </c:pt>
                <c:pt idx="1">
                  <c:v>0.53801209415782503</c:v>
                </c:pt>
                <c:pt idx="2">
                  <c:v>0.48171958731509323</c:v>
                </c:pt>
                <c:pt idx="3">
                  <c:v>0.44419124941993871</c:v>
                </c:pt>
                <c:pt idx="4">
                  <c:v>0.41917235748983567</c:v>
                </c:pt>
                <c:pt idx="5">
                  <c:v>0.40249309620310031</c:v>
                </c:pt>
                <c:pt idx="6">
                  <c:v>0.37077497874815696</c:v>
                </c:pt>
                <c:pt idx="7">
                  <c:v>0.3637521318905842</c:v>
                </c:pt>
                <c:pt idx="8">
                  <c:v>0.35907023398553561</c:v>
                </c:pt>
                <c:pt idx="9">
                  <c:v>0.3559489687155033</c:v>
                </c:pt>
                <c:pt idx="10">
                  <c:v>0.35450611507466101</c:v>
                </c:pt>
                <c:pt idx="11">
                  <c:v>0.35450611507466101</c:v>
                </c:pt>
                <c:pt idx="12">
                  <c:v>0.34365388706217143</c:v>
                </c:pt>
                <c:pt idx="13">
                  <c:v>0.34365388706217143</c:v>
                </c:pt>
                <c:pt idx="14">
                  <c:v>0.34365388706217143</c:v>
                </c:pt>
                <c:pt idx="15">
                  <c:v>0.34365388706217143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4-4437-A45F-7A421BA5C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101679"/>
        <c:axId val="1121143231"/>
      </c:scatterChart>
      <c:valAx>
        <c:axId val="1121101679"/>
        <c:scaling>
          <c:logBase val="10"/>
          <c:orientation val="minMax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Production Volume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21143231"/>
        <c:crosses val="autoZero"/>
        <c:crossBetween val="midCat"/>
      </c:valAx>
      <c:valAx>
        <c:axId val="112114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Part 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211016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List" dx="22" fmlaLink="Materials!$A$30" fmlaRange="Materials!$A$2:$A$17" noThreeD="1" sel="1" val="0"/>
</file>

<file path=xl/ctrlProps/ctrlProp2.xml><?xml version="1.0" encoding="utf-8"?>
<formControlPr xmlns="http://schemas.microsoft.com/office/spreadsheetml/2009/9/main" objectType="List" dx="22" fmlaLink="'Machine coefficients'!$B$1" fmlaRange="'Machine coefficients'!$A$3:$A$6" noThreeD="1" sel="2" val="0"/>
</file>

<file path=xl/ctrlProps/ctrlProp3.xml><?xml version="1.0" encoding="utf-8"?>
<formControlPr xmlns="http://schemas.microsoft.com/office/spreadsheetml/2009/9/main" objectType="List" dx="22" fmlaLink="'Machine coefficients'!$B$8" fmlaRange="'Machine coefficients'!$A$10:$A$15" noThreeD="1" sel="3" val="0"/>
</file>

<file path=xl/ctrlProps/ctrlProp4.xml><?xml version="1.0" encoding="utf-8"?>
<formControlPr xmlns="http://schemas.microsoft.com/office/spreadsheetml/2009/9/main" objectType="List" dx="22" fmlaLink="'Machine coefficients'!$B$17" fmlaRange="'Machine coefficients'!$A$19:$A$21" noThreeD="1" sel="2" val="0"/>
</file>

<file path=xl/ctrlProps/ctrlProp5.xml><?xml version="1.0" encoding="utf-8"?>
<formControlPr xmlns="http://schemas.microsoft.com/office/spreadsheetml/2009/9/main" objectType="CheckBox" fmlaLink="$E$22" lockText="1" noThreeD="1"/>
</file>

<file path=xl/ctrlProps/ctrlProp6.xml><?xml version="1.0" encoding="utf-8"?>
<formControlPr xmlns="http://schemas.microsoft.com/office/spreadsheetml/2009/9/main" objectType="CheckBox" checked="Checked" fmlaLink="$E$23" lockText="1" noThreeD="1"/>
</file>

<file path=xl/ctrlProps/ctrlProp7.xml><?xml version="1.0" encoding="utf-8"?>
<formControlPr xmlns="http://schemas.microsoft.com/office/spreadsheetml/2009/9/main" objectType="CheckBox" fmlaLink="$E$24" lockText="1" noThreeD="1"/>
</file>

<file path=xl/ctrlProps/ctrlProp8.xml><?xml version="1.0" encoding="utf-8"?>
<formControlPr xmlns="http://schemas.microsoft.com/office/spreadsheetml/2009/9/main" objectType="CheckBox" fmlaLink="$E$25" lockText="1" noThreeD="1"/>
</file>

<file path=xl/ctrlProps/ctrlProp9.xml><?xml version="1.0" encoding="utf-8"?>
<formControlPr xmlns="http://schemas.microsoft.com/office/spreadsheetml/2009/9/main" objectType="CheckBox" fmlaLink="$E$26" lockText="1" noThreeD="1"/>
</file>

<file path=xl/ctrlProps/ctrlProp10.xml><?xml version="1.0" encoding="utf-8"?>
<formControlPr xmlns="http://schemas.microsoft.com/office/spreadsheetml/2009/9/main" objectType="CheckBox" fmlaLink="$E$27" lockText="1" noThreeD="1"/>
</file>

<file path=xl/ctrlProps/ctrlProp11.xml><?xml version="1.0" encoding="utf-8"?>
<formControlPr xmlns="http://schemas.microsoft.com/office/spreadsheetml/2009/9/main" objectType="CheckBox" fmlaLink="$E$28" lockText="1" noThreeD="1"/>
</file>

<file path=xl/ctrlProps/ctrlProp12.xml><?xml version="1.0" encoding="utf-8"?>
<formControlPr xmlns="http://schemas.microsoft.com/office/spreadsheetml/2009/9/main" objectType="CheckBox" fmlaLink="$E$29" lockText="1" noThreeD="1"/>
</file>

<file path=xl/ctrlProps/ctrlProp13.xml><?xml version="1.0" encoding="utf-8"?>
<formControlPr xmlns="http://schemas.microsoft.com/office/spreadsheetml/2009/9/main" objectType="CheckBox" fmlaLink="$E$30" lockText="1" noThreeD="1"/>
</file>

<file path=xl/ctrlProps/ctrlProp14.xml><?xml version="1.0" encoding="utf-8"?>
<formControlPr xmlns="http://schemas.microsoft.com/office/spreadsheetml/2009/9/main" objectType="List" dx="22" fmlaLink="'Mold coefficients'!$D$1" fmlaRange="'Mold coefficients'!$A$3:$A$7" noThreeD="1" sel="2" val="0"/>
</file>

<file path=xl/ctrlProps/ctrlProp15.xml><?xml version="1.0" encoding="utf-8"?>
<formControlPr xmlns="http://schemas.microsoft.com/office/spreadsheetml/2009/9/main" objectType="List" dx="22" fmlaLink="'Mold coefficients'!$D$9" fmlaRange="'Mold coefficients'!$A$11:$A$21" noThreeD="1" sel="6" val="4"/>
</file>

<file path=xl/ctrlProps/ctrlProp16.xml><?xml version="1.0" encoding="utf-8"?>
<formControlPr xmlns="http://schemas.microsoft.com/office/spreadsheetml/2009/9/main" objectType="List" dx="22" fmlaLink="'Mold coefficients'!$D$31" fmlaRange="'Mold coefficients'!$A$33:$A$38" noThreeD="1" sel="1" val="0"/>
</file>

<file path=xl/ctrlProps/ctrlProp17.xml><?xml version="1.0" encoding="utf-8"?>
<formControlPr xmlns="http://schemas.microsoft.com/office/spreadsheetml/2009/9/main" objectType="List" dx="22" fmlaLink="'Mold coefficients'!$D$40" fmlaRange="'Mold coefficients'!$A$42:$A$46" noThreeD="1" sel="2" val="0"/>
</file>

<file path=xl/ctrlProps/ctrlProp18.xml><?xml version="1.0" encoding="utf-8"?>
<formControlPr xmlns="http://schemas.microsoft.com/office/spreadsheetml/2009/9/main" objectType="List" dx="22" fmlaLink="'Mold coefficients'!$D$48" fmlaRange="'Mold coefficients'!$A$50:$A$56" noThreeD="1" sel="1" val="0"/>
</file>

<file path=xl/ctrlProps/ctrlProp19.xml><?xml version="1.0" encoding="utf-8"?>
<formControlPr xmlns="http://schemas.microsoft.com/office/spreadsheetml/2009/9/main" objectType="List" dx="22" fmlaLink="'Mold coefficients'!$D$58" fmlaRange="'Mold coefficients'!$A$60:$A$62" noThreeD="1" sel="1" val="0"/>
</file>

<file path=xl/ctrlProps/ctrlProp20.xml><?xml version="1.0" encoding="utf-8"?>
<formControlPr xmlns="http://schemas.microsoft.com/office/spreadsheetml/2009/9/main" objectType="List" dx="22" fmlaLink="'Mold coefficients'!$D$63" fmlaRange="'Mold coefficients'!$A$63:$A$65" noThreeD="1" sel="2" val="0"/>
</file>

<file path=xl/ctrlProps/ctrlProp21.xml><?xml version="1.0" encoding="utf-8"?>
<formControlPr xmlns="http://schemas.microsoft.com/office/spreadsheetml/2009/9/main" objectType="CheckBox" checked="Checked" fmlaLink="$E$58" lockText="1" noThreeD="1"/>
</file>

<file path=xl/ctrlProps/ctrlProp22.xml><?xml version="1.0" encoding="utf-8"?>
<formControlPr xmlns="http://schemas.microsoft.com/office/spreadsheetml/2009/9/main" objectType="CheckBox" checked="Checked" fmlaLink="$E$59" lockText="1" noThreeD="1"/>
</file>

<file path=xl/ctrlProps/ctrlProp23.xml><?xml version="1.0" encoding="utf-8"?>
<formControlPr xmlns="http://schemas.microsoft.com/office/spreadsheetml/2009/9/main" objectType="CheckBox" fmlaLink="$E$60" lockText="1" noThreeD="1"/>
</file>

<file path=xl/ctrlProps/ctrlProp24.xml><?xml version="1.0" encoding="utf-8"?>
<formControlPr xmlns="http://schemas.microsoft.com/office/spreadsheetml/2009/9/main" objectType="CheckBox" fmlaLink="$E$61" lockText="1" noThreeD="1"/>
</file>

<file path=xl/ctrlProps/ctrlProp25.xml><?xml version="1.0" encoding="utf-8"?>
<formControlPr xmlns="http://schemas.microsoft.com/office/spreadsheetml/2009/9/main" objectType="CheckBox" fmlaLink="$E$62" lockText="1" noThreeD="1"/>
</file>

<file path=xl/ctrlProps/ctrlProp26.xml><?xml version="1.0" encoding="utf-8"?>
<formControlPr xmlns="http://schemas.microsoft.com/office/spreadsheetml/2009/9/main" objectType="CheckBox" checked="Checked" fmlaLink="$E$63" lockText="1" noThreeD="1"/>
</file>

<file path=xl/ctrlProps/ctrlProp27.xml><?xml version="1.0" encoding="utf-8"?>
<formControlPr xmlns="http://schemas.microsoft.com/office/spreadsheetml/2009/9/main" objectType="CheckBox" fmlaLink="$E$64" lockText="1" noThreeD="1"/>
</file>

<file path=xl/ctrlProps/ctrlProp28.xml><?xml version="1.0" encoding="utf-8"?>
<formControlPr xmlns="http://schemas.microsoft.com/office/spreadsheetml/2009/9/main" objectType="CheckBox" fmlaLink="$E$65" lockText="1" noThreeD="1"/>
</file>

<file path=xl/ctrlProps/ctrlProp29.xml><?xml version="1.0" encoding="utf-8"?>
<formControlPr xmlns="http://schemas.microsoft.com/office/spreadsheetml/2009/9/main" objectType="CheckBox" fmlaLink="$E$66" lockText="1" noThreeD="1"/>
</file>

<file path=xl/ctrlProps/ctrlProp30.xml><?xml version="1.0" encoding="utf-8"?>
<formControlPr xmlns="http://schemas.microsoft.com/office/spreadsheetml/2009/9/main" objectType="List" dx="22" fmlaLink="'Mold coefficients'!$D$84" fmlaRange="'Mold coefficients'!$A$85:$A$87" noThreeD="1" sel="2" val="0"/>
</file>

<file path=xl/ctrlProps/ctrlProp31.xml><?xml version="1.0" encoding="utf-8"?>
<formControlPr xmlns="http://schemas.microsoft.com/office/spreadsheetml/2009/9/main" objectType="List" dx="22" fmlaLink="'Mold coefficients'!$D$80" fmlaRange="'Mold coefficients'!$A$81:$A$83" noThreeD="1" sel="1" val="0"/>
</file>

<file path=xl/ctrlProps/ctrlProp32.xml><?xml version="1.0" encoding="utf-8"?>
<formControlPr xmlns="http://schemas.microsoft.com/office/spreadsheetml/2009/9/main" objectType="List" dx="22" fmlaLink="'Machine coefficients'!$B$23" fmlaRange="'Machine coefficients'!$A$25:$A$26" noThreeD="1" sel="2" val="0"/>
</file>

<file path=xl/ctrlProps/ctrlProp33.xml><?xml version="1.0" encoding="utf-8"?>
<formControlPr xmlns="http://schemas.microsoft.com/office/spreadsheetml/2009/9/main" objectType="List" dx="22" fmlaLink="Materials!$A$30" fmlaRange="Materials!$A$2:$A$17" noThreeD="1" sel="1" val="9"/>
</file>

<file path=xl/ctrlProps/ctrlProp34.xml><?xml version="1.0" encoding="utf-8"?>
<formControlPr xmlns="http://schemas.microsoft.com/office/spreadsheetml/2009/9/main" objectType="List" dx="22" fmlaLink="'Machine coefficients'!$B$1" fmlaRange="'Machine coefficients'!$A$3:$A$6" noThreeD="1" sel="2" val="0"/>
</file>

<file path=xl/ctrlProps/ctrlProp35.xml><?xml version="1.0" encoding="utf-8"?>
<formControlPr xmlns="http://schemas.microsoft.com/office/spreadsheetml/2009/9/main" objectType="List" dx="22" fmlaLink="'Machine coefficients'!$B$8" fmlaRange="'Machine coefficients'!$A$10:$A$15" noThreeD="1" sel="3" val="0"/>
</file>

<file path=xl/ctrlProps/ctrlProp36.xml><?xml version="1.0" encoding="utf-8"?>
<formControlPr xmlns="http://schemas.microsoft.com/office/spreadsheetml/2009/9/main" objectType="List" dx="22" fmlaLink="'Machine coefficients'!$B$17" fmlaRange="'Machine coefficients'!$A$19:$A$21" noThreeD="1" sel="2" val="0"/>
</file>

<file path=xl/ctrlProps/ctrlProp37.xml><?xml version="1.0" encoding="utf-8"?>
<formControlPr xmlns="http://schemas.microsoft.com/office/spreadsheetml/2009/9/main" objectType="CheckBox" fmlaLink="$E$22" lockText="1" noThreeD="1"/>
</file>

<file path=xl/ctrlProps/ctrlProp38.xml><?xml version="1.0" encoding="utf-8"?>
<formControlPr xmlns="http://schemas.microsoft.com/office/spreadsheetml/2009/9/main" objectType="CheckBox" checked="Checked" fmlaLink="$E$23" lockText="1" noThreeD="1"/>
</file>

<file path=xl/ctrlProps/ctrlProp39.xml><?xml version="1.0" encoding="utf-8"?>
<formControlPr xmlns="http://schemas.microsoft.com/office/spreadsheetml/2009/9/main" objectType="CheckBox" fmlaLink="$E$24" lockText="1" noThreeD="1"/>
</file>

<file path=xl/ctrlProps/ctrlProp40.xml><?xml version="1.0" encoding="utf-8"?>
<formControlPr xmlns="http://schemas.microsoft.com/office/spreadsheetml/2009/9/main" objectType="CheckBox" fmlaLink="$E$25" lockText="1" noThreeD="1"/>
</file>

<file path=xl/ctrlProps/ctrlProp41.xml><?xml version="1.0" encoding="utf-8"?>
<formControlPr xmlns="http://schemas.microsoft.com/office/spreadsheetml/2009/9/main" objectType="CheckBox" fmlaLink="$E$26" lockText="1" noThreeD="1"/>
</file>

<file path=xl/ctrlProps/ctrlProp42.xml><?xml version="1.0" encoding="utf-8"?>
<formControlPr xmlns="http://schemas.microsoft.com/office/spreadsheetml/2009/9/main" objectType="CheckBox" fmlaLink="$E$27" lockText="1" noThreeD="1"/>
</file>

<file path=xl/ctrlProps/ctrlProp43.xml><?xml version="1.0" encoding="utf-8"?>
<formControlPr xmlns="http://schemas.microsoft.com/office/spreadsheetml/2009/9/main" objectType="CheckBox" fmlaLink="$E$28" lockText="1" noThreeD="1"/>
</file>

<file path=xl/ctrlProps/ctrlProp44.xml><?xml version="1.0" encoding="utf-8"?>
<formControlPr xmlns="http://schemas.microsoft.com/office/spreadsheetml/2009/9/main" objectType="CheckBox" fmlaLink="$E$29" lockText="1" noThreeD="1"/>
</file>

<file path=xl/ctrlProps/ctrlProp45.xml><?xml version="1.0" encoding="utf-8"?>
<formControlPr xmlns="http://schemas.microsoft.com/office/spreadsheetml/2009/9/main" objectType="CheckBox" fmlaLink="$E$30" lockText="1" noThreeD="1"/>
</file>

<file path=xl/ctrlProps/ctrlProp46.xml><?xml version="1.0" encoding="utf-8"?>
<formControlPr xmlns="http://schemas.microsoft.com/office/spreadsheetml/2009/9/main" objectType="List" dx="22" fmlaLink="'Mold coefficients'!$D$1" fmlaRange="'Mold coefficients'!$A$3:$A$7" noThreeD="1" sel="2" val="0"/>
</file>

<file path=xl/ctrlProps/ctrlProp47.xml><?xml version="1.0" encoding="utf-8"?>
<formControlPr xmlns="http://schemas.microsoft.com/office/spreadsheetml/2009/9/main" objectType="List" dx="22" fmlaLink="'Mold coefficients'!$D$9" fmlaRange="'Mold coefficients'!$A$11:$A$21" noThreeD="1" sel="6" val="4"/>
</file>

<file path=xl/ctrlProps/ctrlProp48.xml><?xml version="1.0" encoding="utf-8"?>
<formControlPr xmlns="http://schemas.microsoft.com/office/spreadsheetml/2009/9/main" objectType="List" dx="22" fmlaLink="'Mold coefficients'!$D$31" fmlaRange="'Mold coefficients'!$A$33:$A$38" noThreeD="1" sel="1" val="0"/>
</file>

<file path=xl/ctrlProps/ctrlProp49.xml><?xml version="1.0" encoding="utf-8"?>
<formControlPr xmlns="http://schemas.microsoft.com/office/spreadsheetml/2009/9/main" objectType="List" dx="22" fmlaLink="'Mold coefficients'!$D$40" fmlaRange="'Mold coefficients'!$A$42:$A$46" noThreeD="1" sel="2" val="0"/>
</file>

<file path=xl/ctrlProps/ctrlProp50.xml><?xml version="1.0" encoding="utf-8"?>
<formControlPr xmlns="http://schemas.microsoft.com/office/spreadsheetml/2009/9/main" objectType="List" dx="22" fmlaLink="'Mold coefficients'!$D$48" fmlaRange="'Mold coefficients'!$A$50:$A$56" noThreeD="1" sel="1" val="0"/>
</file>

<file path=xl/ctrlProps/ctrlProp51.xml><?xml version="1.0" encoding="utf-8"?>
<formControlPr xmlns="http://schemas.microsoft.com/office/spreadsheetml/2009/9/main" objectType="List" dx="22" fmlaLink="'Mold coefficients'!$D$58" fmlaRange="'Mold coefficients'!$A$60:$A$62" noThreeD="1" sel="1" val="0"/>
</file>

<file path=xl/ctrlProps/ctrlProp52.xml><?xml version="1.0" encoding="utf-8"?>
<formControlPr xmlns="http://schemas.microsoft.com/office/spreadsheetml/2009/9/main" objectType="List" dx="22" fmlaLink="'Mold coefficients'!$D$63" fmlaRange="'Mold coefficients'!$A$63:$A$65" noThreeD="1" sel="2" val="0"/>
</file>

<file path=xl/ctrlProps/ctrlProp53.xml><?xml version="1.0" encoding="utf-8"?>
<formControlPr xmlns="http://schemas.microsoft.com/office/spreadsheetml/2009/9/main" objectType="CheckBox" checked="Checked" fmlaLink="$E$58" lockText="1" noThreeD="1"/>
</file>

<file path=xl/ctrlProps/ctrlProp54.xml><?xml version="1.0" encoding="utf-8"?>
<formControlPr xmlns="http://schemas.microsoft.com/office/spreadsheetml/2009/9/main" objectType="CheckBox" checked="Checked" fmlaLink="$E$59" lockText="1" noThreeD="1"/>
</file>

<file path=xl/ctrlProps/ctrlProp55.xml><?xml version="1.0" encoding="utf-8"?>
<formControlPr xmlns="http://schemas.microsoft.com/office/spreadsheetml/2009/9/main" objectType="CheckBox" fmlaLink="$E$60" lockText="1" noThreeD="1"/>
</file>

<file path=xl/ctrlProps/ctrlProp56.xml><?xml version="1.0" encoding="utf-8"?>
<formControlPr xmlns="http://schemas.microsoft.com/office/spreadsheetml/2009/9/main" objectType="CheckBox" fmlaLink="$E$61" lockText="1" noThreeD="1"/>
</file>

<file path=xl/ctrlProps/ctrlProp57.xml><?xml version="1.0" encoding="utf-8"?>
<formControlPr xmlns="http://schemas.microsoft.com/office/spreadsheetml/2009/9/main" objectType="CheckBox" fmlaLink="$E$62" lockText="1" noThreeD="1"/>
</file>

<file path=xl/ctrlProps/ctrlProp58.xml><?xml version="1.0" encoding="utf-8"?>
<formControlPr xmlns="http://schemas.microsoft.com/office/spreadsheetml/2009/9/main" objectType="CheckBox" checked="Checked" fmlaLink="$E$63" lockText="1" noThreeD="1"/>
</file>

<file path=xl/ctrlProps/ctrlProp59.xml><?xml version="1.0" encoding="utf-8"?>
<formControlPr xmlns="http://schemas.microsoft.com/office/spreadsheetml/2009/9/main" objectType="CheckBox" fmlaLink="$E$64" lockText="1" noThreeD="1"/>
</file>

<file path=xl/ctrlProps/ctrlProp60.xml><?xml version="1.0" encoding="utf-8"?>
<formControlPr xmlns="http://schemas.microsoft.com/office/spreadsheetml/2009/9/main" objectType="CheckBox" fmlaLink="$E$65" lockText="1" noThreeD="1"/>
</file>

<file path=xl/ctrlProps/ctrlProp61.xml><?xml version="1.0" encoding="utf-8"?>
<formControlPr xmlns="http://schemas.microsoft.com/office/spreadsheetml/2009/9/main" objectType="CheckBox" fmlaLink="$E$66" lockText="1" noThreeD="1"/>
</file>

<file path=xl/ctrlProps/ctrlProp62.xml><?xml version="1.0" encoding="utf-8"?>
<formControlPr xmlns="http://schemas.microsoft.com/office/spreadsheetml/2009/9/main" objectType="List" dx="22" fmlaLink="'Mold coefficients'!$D$84" fmlaRange="'Mold coefficients'!$A$85:$A$87" noThreeD="1" sel="2" val="0"/>
</file>

<file path=xl/ctrlProps/ctrlProp63.xml><?xml version="1.0" encoding="utf-8"?>
<formControlPr xmlns="http://schemas.microsoft.com/office/spreadsheetml/2009/9/main" objectType="List" dx="22" fmlaLink="'Mold coefficients'!$D$80" fmlaRange="'Mold coefficients'!$A$81:$A$83" noThreeD="1" sel="1" val="0"/>
</file>

<file path=xl/ctrlProps/ctrlProp64.xml><?xml version="1.0" encoding="utf-8"?>
<formControlPr xmlns="http://schemas.microsoft.com/office/spreadsheetml/2009/9/main" objectType="List" dx="22" fmlaLink="'Machine coefficients'!$B$23" fmlaRange="'Machine coefficients'!$A$25:$A$26" noThreeD="1" sel="2" val="0"/>
</file>

<file path=xl/ctrlProps/ctrlProp6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47625</xdr:colOff>
          <xdr:row>7</xdr:row>
          <xdr:rowOff>409575</xdr:rowOff>
        </xdr:to>
        <xdr:sp macro="" textlink="">
          <xdr:nvSpPr>
            <xdr:cNvPr id="1031" name="List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5</xdr:col>
          <xdr:colOff>457200</xdr:colOff>
          <xdr:row>18</xdr:row>
          <xdr:rowOff>581025</xdr:rowOff>
        </xdr:to>
        <xdr:sp macro="" textlink="">
          <xdr:nvSpPr>
            <xdr:cNvPr id="1032" name="List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6</xdr:col>
          <xdr:colOff>142875</xdr:colOff>
          <xdr:row>19</xdr:row>
          <xdr:rowOff>790575</xdr:rowOff>
        </xdr:to>
        <xdr:sp macro="" textlink="">
          <xdr:nvSpPr>
            <xdr:cNvPr id="1033" name="List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6</xdr:col>
          <xdr:colOff>142875</xdr:colOff>
          <xdr:row>20</xdr:row>
          <xdr:rowOff>409575</xdr:rowOff>
        </xdr:to>
        <xdr:sp macro="" textlink="">
          <xdr:nvSpPr>
            <xdr:cNvPr id="1036" name="List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19050</xdr:rowOff>
        </xdr:from>
        <xdr:to>
          <xdr:col>3</xdr:col>
          <xdr:colOff>190500</xdr:colOff>
          <xdr:row>21</xdr:row>
          <xdr:rowOff>219075</xdr:rowOff>
        </xdr:to>
        <xdr:sp macro="" textlink="">
          <xdr:nvSpPr>
            <xdr:cNvPr id="1038" name="Check Box 14" descr="Molder profi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3</xdr:col>
          <xdr:colOff>200025</xdr:colOff>
          <xdr:row>23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0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219075</xdr:rowOff>
        </xdr:from>
        <xdr:to>
          <xdr:col>3</xdr:col>
          <xdr:colOff>219075</xdr:colOff>
          <xdr:row>25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0</xdr:rowOff>
        </xdr:from>
        <xdr:to>
          <xdr:col>3</xdr:col>
          <xdr:colOff>219075</xdr:colOff>
          <xdr:row>26</xdr:row>
          <xdr:rowOff>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0</xdr:rowOff>
        </xdr:from>
        <xdr:to>
          <xdr:col>3</xdr:col>
          <xdr:colOff>228600</xdr:colOff>
          <xdr:row>27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27</xdr:row>
          <xdr:rowOff>0</xdr:rowOff>
        </xdr:from>
        <xdr:to>
          <xdr:col>3</xdr:col>
          <xdr:colOff>228600</xdr:colOff>
          <xdr:row>28</xdr:row>
          <xdr:rowOff>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0</xdr:rowOff>
        </xdr:from>
        <xdr:to>
          <xdr:col>3</xdr:col>
          <xdr:colOff>219075</xdr:colOff>
          <xdr:row>29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247650</xdr:colOff>
          <xdr:row>29</xdr:row>
          <xdr:rowOff>219075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9525</xdr:rowOff>
        </xdr:from>
        <xdr:to>
          <xdr:col>3</xdr:col>
          <xdr:colOff>762000</xdr:colOff>
          <xdr:row>34</xdr:row>
          <xdr:rowOff>9525</xdr:rowOff>
        </xdr:to>
        <xdr:sp macro="" textlink="">
          <xdr:nvSpPr>
            <xdr:cNvPr id="1047" name="List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9525</xdr:rowOff>
        </xdr:from>
        <xdr:to>
          <xdr:col>3</xdr:col>
          <xdr:colOff>762000</xdr:colOff>
          <xdr:row>35</xdr:row>
          <xdr:rowOff>0</xdr:rowOff>
        </xdr:to>
        <xdr:sp macro="" textlink="">
          <xdr:nvSpPr>
            <xdr:cNvPr id="1048" name="List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52</xdr:row>
          <xdr:rowOff>9525</xdr:rowOff>
        </xdr:from>
        <xdr:to>
          <xdr:col>5</xdr:col>
          <xdr:colOff>2286000</xdr:colOff>
          <xdr:row>52</xdr:row>
          <xdr:rowOff>419100</xdr:rowOff>
        </xdr:to>
        <xdr:sp macro="" textlink="">
          <xdr:nvSpPr>
            <xdr:cNvPr id="1050" name="List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53</xdr:row>
          <xdr:rowOff>9525</xdr:rowOff>
        </xdr:from>
        <xdr:to>
          <xdr:col>5</xdr:col>
          <xdr:colOff>2286000</xdr:colOff>
          <xdr:row>53</xdr:row>
          <xdr:rowOff>419100</xdr:rowOff>
        </xdr:to>
        <xdr:sp macro="" textlink="">
          <xdr:nvSpPr>
            <xdr:cNvPr id="1051" name="List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54</xdr:row>
          <xdr:rowOff>9525</xdr:rowOff>
        </xdr:from>
        <xdr:to>
          <xdr:col>5</xdr:col>
          <xdr:colOff>2276475</xdr:colOff>
          <xdr:row>55</xdr:row>
          <xdr:rowOff>9525</xdr:rowOff>
        </xdr:to>
        <xdr:sp macro="" textlink="">
          <xdr:nvSpPr>
            <xdr:cNvPr id="1052" name="List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55</xdr:row>
          <xdr:rowOff>9525</xdr:rowOff>
        </xdr:from>
        <xdr:to>
          <xdr:col>5</xdr:col>
          <xdr:colOff>2276475</xdr:colOff>
          <xdr:row>55</xdr:row>
          <xdr:rowOff>419100</xdr:rowOff>
        </xdr:to>
        <xdr:sp macro="" textlink="">
          <xdr:nvSpPr>
            <xdr:cNvPr id="1053" name="List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56</xdr:row>
          <xdr:rowOff>9525</xdr:rowOff>
        </xdr:from>
        <xdr:to>
          <xdr:col>5</xdr:col>
          <xdr:colOff>2276475</xdr:colOff>
          <xdr:row>56</xdr:row>
          <xdr:rowOff>419100</xdr:rowOff>
        </xdr:to>
        <xdr:sp macro="" textlink="">
          <xdr:nvSpPr>
            <xdr:cNvPr id="1054" name="List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57</xdr:row>
          <xdr:rowOff>0</xdr:rowOff>
        </xdr:from>
        <xdr:to>
          <xdr:col>3</xdr:col>
          <xdr:colOff>295275</xdr:colOff>
          <xdr:row>58</xdr:row>
          <xdr:rowOff>28575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58</xdr:row>
          <xdr:rowOff>0</xdr:rowOff>
        </xdr:from>
        <xdr:to>
          <xdr:col>3</xdr:col>
          <xdr:colOff>295275</xdr:colOff>
          <xdr:row>59</xdr:row>
          <xdr:rowOff>28575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59</xdr:row>
          <xdr:rowOff>0</xdr:rowOff>
        </xdr:from>
        <xdr:to>
          <xdr:col>3</xdr:col>
          <xdr:colOff>314325</xdr:colOff>
          <xdr:row>60</xdr:row>
          <xdr:rowOff>28575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60</xdr:row>
          <xdr:rowOff>0</xdr:rowOff>
        </xdr:from>
        <xdr:to>
          <xdr:col>3</xdr:col>
          <xdr:colOff>219075</xdr:colOff>
          <xdr:row>61</xdr:row>
          <xdr:rowOff>47625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61</xdr:row>
          <xdr:rowOff>0</xdr:rowOff>
        </xdr:from>
        <xdr:to>
          <xdr:col>3</xdr:col>
          <xdr:colOff>314325</xdr:colOff>
          <xdr:row>62</xdr:row>
          <xdr:rowOff>28575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62</xdr:row>
          <xdr:rowOff>0</xdr:rowOff>
        </xdr:from>
        <xdr:to>
          <xdr:col>3</xdr:col>
          <xdr:colOff>314325</xdr:colOff>
          <xdr:row>63</xdr:row>
          <xdr:rowOff>28575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63</xdr:row>
          <xdr:rowOff>0</xdr:rowOff>
        </xdr:from>
        <xdr:to>
          <xdr:col>3</xdr:col>
          <xdr:colOff>314325</xdr:colOff>
          <xdr:row>64</xdr:row>
          <xdr:rowOff>28575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64</xdr:row>
          <xdr:rowOff>9525</xdr:rowOff>
        </xdr:from>
        <xdr:to>
          <xdr:col>3</xdr:col>
          <xdr:colOff>314325</xdr:colOff>
          <xdr:row>65</xdr:row>
          <xdr:rowOff>38100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65</xdr:row>
          <xdr:rowOff>0</xdr:rowOff>
        </xdr:from>
        <xdr:to>
          <xdr:col>3</xdr:col>
          <xdr:colOff>314325</xdr:colOff>
          <xdr:row>66</xdr:row>
          <xdr:rowOff>28575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35</xdr:row>
          <xdr:rowOff>0</xdr:rowOff>
        </xdr:from>
        <xdr:to>
          <xdr:col>5</xdr:col>
          <xdr:colOff>485775</xdr:colOff>
          <xdr:row>35</xdr:row>
          <xdr:rowOff>409575</xdr:rowOff>
        </xdr:to>
        <xdr:sp macro="" textlink="">
          <xdr:nvSpPr>
            <xdr:cNvPr id="1065" name="List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409575</xdr:rowOff>
        </xdr:from>
        <xdr:to>
          <xdr:col>5</xdr:col>
          <xdr:colOff>790575</xdr:colOff>
          <xdr:row>8</xdr:row>
          <xdr:rowOff>409575</xdr:rowOff>
        </xdr:to>
        <xdr:sp macro="" textlink="">
          <xdr:nvSpPr>
            <xdr:cNvPr id="1066" name="List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752475</xdr:colOff>
          <xdr:row>4</xdr:row>
          <xdr:rowOff>409575</xdr:rowOff>
        </xdr:to>
        <xdr:sp macro="" textlink="">
          <xdr:nvSpPr>
            <xdr:cNvPr id="1067" name="List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47625</xdr:colOff>
          <xdr:row>7</xdr:row>
          <xdr:rowOff>409575</xdr:rowOff>
        </xdr:to>
        <xdr:sp macro="" textlink="">
          <xdr:nvSpPr>
            <xdr:cNvPr id="12289" name="List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5</xdr:col>
          <xdr:colOff>457200</xdr:colOff>
          <xdr:row>18</xdr:row>
          <xdr:rowOff>581025</xdr:rowOff>
        </xdr:to>
        <xdr:sp macro="" textlink="">
          <xdr:nvSpPr>
            <xdr:cNvPr id="12290" name="List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6</xdr:col>
          <xdr:colOff>142875</xdr:colOff>
          <xdr:row>19</xdr:row>
          <xdr:rowOff>790575</xdr:rowOff>
        </xdr:to>
        <xdr:sp macro="" textlink="">
          <xdr:nvSpPr>
            <xdr:cNvPr id="12291" name="List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6</xdr:col>
          <xdr:colOff>142875</xdr:colOff>
          <xdr:row>20</xdr:row>
          <xdr:rowOff>409575</xdr:rowOff>
        </xdr:to>
        <xdr:sp macro="" textlink="">
          <xdr:nvSpPr>
            <xdr:cNvPr id="12292" name="List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2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19050</xdr:rowOff>
        </xdr:from>
        <xdr:to>
          <xdr:col>3</xdr:col>
          <xdr:colOff>190500</xdr:colOff>
          <xdr:row>21</xdr:row>
          <xdr:rowOff>219075</xdr:rowOff>
        </xdr:to>
        <xdr:sp macro="" textlink="">
          <xdr:nvSpPr>
            <xdr:cNvPr id="12293" name="Check Box 5" descr="Molder profit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2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3</xdr:col>
          <xdr:colOff>200025</xdr:colOff>
          <xdr:row>23</xdr:row>
          <xdr:rowOff>0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0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219075</xdr:rowOff>
        </xdr:from>
        <xdr:to>
          <xdr:col>3</xdr:col>
          <xdr:colOff>219075</xdr:colOff>
          <xdr:row>25</xdr:row>
          <xdr:rowOff>0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0</xdr:rowOff>
        </xdr:from>
        <xdr:to>
          <xdr:col>3</xdr:col>
          <xdr:colOff>219075</xdr:colOff>
          <xdr:row>26</xdr:row>
          <xdr:rowOff>0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2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0</xdr:rowOff>
        </xdr:from>
        <xdr:to>
          <xdr:col>3</xdr:col>
          <xdr:colOff>228600</xdr:colOff>
          <xdr:row>27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27</xdr:row>
          <xdr:rowOff>0</xdr:rowOff>
        </xdr:from>
        <xdr:to>
          <xdr:col>3</xdr:col>
          <xdr:colOff>228600</xdr:colOff>
          <xdr:row>28</xdr:row>
          <xdr:rowOff>0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2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0</xdr:rowOff>
        </xdr:from>
        <xdr:to>
          <xdr:col>3</xdr:col>
          <xdr:colOff>219075</xdr:colOff>
          <xdr:row>29</xdr:row>
          <xdr:rowOff>0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2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247650</xdr:colOff>
          <xdr:row>29</xdr:row>
          <xdr:rowOff>219075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2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9525</xdr:rowOff>
        </xdr:from>
        <xdr:to>
          <xdr:col>3</xdr:col>
          <xdr:colOff>762000</xdr:colOff>
          <xdr:row>34</xdr:row>
          <xdr:rowOff>9525</xdr:rowOff>
        </xdr:to>
        <xdr:sp macro="" textlink="">
          <xdr:nvSpPr>
            <xdr:cNvPr id="12302" name="List Box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2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9525</xdr:rowOff>
        </xdr:from>
        <xdr:to>
          <xdr:col>3</xdr:col>
          <xdr:colOff>762000</xdr:colOff>
          <xdr:row>35</xdr:row>
          <xdr:rowOff>0</xdr:rowOff>
        </xdr:to>
        <xdr:sp macro="" textlink="">
          <xdr:nvSpPr>
            <xdr:cNvPr id="12303" name="List Box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2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52</xdr:row>
          <xdr:rowOff>9525</xdr:rowOff>
        </xdr:from>
        <xdr:to>
          <xdr:col>5</xdr:col>
          <xdr:colOff>2286000</xdr:colOff>
          <xdr:row>52</xdr:row>
          <xdr:rowOff>419100</xdr:rowOff>
        </xdr:to>
        <xdr:sp macro="" textlink="">
          <xdr:nvSpPr>
            <xdr:cNvPr id="12304" name="List Box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2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53</xdr:row>
          <xdr:rowOff>9525</xdr:rowOff>
        </xdr:from>
        <xdr:to>
          <xdr:col>5</xdr:col>
          <xdr:colOff>2286000</xdr:colOff>
          <xdr:row>53</xdr:row>
          <xdr:rowOff>419100</xdr:rowOff>
        </xdr:to>
        <xdr:sp macro="" textlink="">
          <xdr:nvSpPr>
            <xdr:cNvPr id="12305" name="List Box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2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54</xdr:row>
          <xdr:rowOff>9525</xdr:rowOff>
        </xdr:from>
        <xdr:to>
          <xdr:col>5</xdr:col>
          <xdr:colOff>2276475</xdr:colOff>
          <xdr:row>55</xdr:row>
          <xdr:rowOff>9525</xdr:rowOff>
        </xdr:to>
        <xdr:sp macro="" textlink="">
          <xdr:nvSpPr>
            <xdr:cNvPr id="12306" name="List Box 18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2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55</xdr:row>
          <xdr:rowOff>9525</xdr:rowOff>
        </xdr:from>
        <xdr:to>
          <xdr:col>5</xdr:col>
          <xdr:colOff>2276475</xdr:colOff>
          <xdr:row>55</xdr:row>
          <xdr:rowOff>419100</xdr:rowOff>
        </xdr:to>
        <xdr:sp macro="" textlink="">
          <xdr:nvSpPr>
            <xdr:cNvPr id="12307" name="List Box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2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56</xdr:row>
          <xdr:rowOff>9525</xdr:rowOff>
        </xdr:from>
        <xdr:to>
          <xdr:col>5</xdr:col>
          <xdr:colOff>2276475</xdr:colOff>
          <xdr:row>56</xdr:row>
          <xdr:rowOff>419100</xdr:rowOff>
        </xdr:to>
        <xdr:sp macro="" textlink="">
          <xdr:nvSpPr>
            <xdr:cNvPr id="12308" name="List Box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2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57</xdr:row>
          <xdr:rowOff>0</xdr:rowOff>
        </xdr:from>
        <xdr:to>
          <xdr:col>3</xdr:col>
          <xdr:colOff>295275</xdr:colOff>
          <xdr:row>58</xdr:row>
          <xdr:rowOff>28575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2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58</xdr:row>
          <xdr:rowOff>0</xdr:rowOff>
        </xdr:from>
        <xdr:to>
          <xdr:col>3</xdr:col>
          <xdr:colOff>295275</xdr:colOff>
          <xdr:row>59</xdr:row>
          <xdr:rowOff>28575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2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59</xdr:row>
          <xdr:rowOff>0</xdr:rowOff>
        </xdr:from>
        <xdr:to>
          <xdr:col>3</xdr:col>
          <xdr:colOff>314325</xdr:colOff>
          <xdr:row>60</xdr:row>
          <xdr:rowOff>28575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2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60</xdr:row>
          <xdr:rowOff>0</xdr:rowOff>
        </xdr:from>
        <xdr:to>
          <xdr:col>3</xdr:col>
          <xdr:colOff>219075</xdr:colOff>
          <xdr:row>61</xdr:row>
          <xdr:rowOff>47625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2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61</xdr:row>
          <xdr:rowOff>0</xdr:rowOff>
        </xdr:from>
        <xdr:to>
          <xdr:col>3</xdr:col>
          <xdr:colOff>314325</xdr:colOff>
          <xdr:row>62</xdr:row>
          <xdr:rowOff>28575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2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62</xdr:row>
          <xdr:rowOff>0</xdr:rowOff>
        </xdr:from>
        <xdr:to>
          <xdr:col>3</xdr:col>
          <xdr:colOff>314325</xdr:colOff>
          <xdr:row>63</xdr:row>
          <xdr:rowOff>28575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2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63</xdr:row>
          <xdr:rowOff>0</xdr:rowOff>
        </xdr:from>
        <xdr:to>
          <xdr:col>3</xdr:col>
          <xdr:colOff>314325</xdr:colOff>
          <xdr:row>64</xdr:row>
          <xdr:rowOff>28575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64</xdr:row>
          <xdr:rowOff>9525</xdr:rowOff>
        </xdr:from>
        <xdr:to>
          <xdr:col>3</xdr:col>
          <xdr:colOff>314325</xdr:colOff>
          <xdr:row>65</xdr:row>
          <xdr:rowOff>38100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2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65</xdr:row>
          <xdr:rowOff>0</xdr:rowOff>
        </xdr:from>
        <xdr:to>
          <xdr:col>3</xdr:col>
          <xdr:colOff>314325</xdr:colOff>
          <xdr:row>66</xdr:row>
          <xdr:rowOff>28575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2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35</xdr:row>
          <xdr:rowOff>0</xdr:rowOff>
        </xdr:from>
        <xdr:to>
          <xdr:col>5</xdr:col>
          <xdr:colOff>485775</xdr:colOff>
          <xdr:row>35</xdr:row>
          <xdr:rowOff>409575</xdr:rowOff>
        </xdr:to>
        <xdr:sp macro="" textlink="">
          <xdr:nvSpPr>
            <xdr:cNvPr id="12318" name="List Box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2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409575</xdr:rowOff>
        </xdr:from>
        <xdr:to>
          <xdr:col>5</xdr:col>
          <xdr:colOff>790575</xdr:colOff>
          <xdr:row>8</xdr:row>
          <xdr:rowOff>409575</xdr:rowOff>
        </xdr:to>
        <xdr:sp macro="" textlink="">
          <xdr:nvSpPr>
            <xdr:cNvPr id="12319" name="List Box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2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752475</xdr:colOff>
          <xdr:row>4</xdr:row>
          <xdr:rowOff>409575</xdr:rowOff>
        </xdr:to>
        <xdr:sp macro="" textlink="">
          <xdr:nvSpPr>
            <xdr:cNvPr id="12320" name="List Box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2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11841</xdr:colOff>
      <xdr:row>0</xdr:row>
      <xdr:rowOff>33116</xdr:rowOff>
    </xdr:from>
    <xdr:to>
      <xdr:col>6</xdr:col>
      <xdr:colOff>658091</xdr:colOff>
      <xdr:row>26</xdr:row>
      <xdr:rowOff>155864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11</xdr:row>
          <xdr:rowOff>180975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29159</xdr:colOff>
      <xdr:row>0</xdr:row>
      <xdr:rowOff>15798</xdr:rowOff>
    </xdr:from>
    <xdr:to>
      <xdr:col>6</xdr:col>
      <xdr:colOff>675409</xdr:colOff>
      <xdr:row>26</xdr:row>
      <xdr:rowOff>173182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30</xdr:row>
      <xdr:rowOff>0</xdr:rowOff>
    </xdr:from>
    <xdr:to>
      <xdr:col>12</xdr:col>
      <xdr:colOff>304291</xdr:colOff>
      <xdr:row>48</xdr:row>
      <xdr:rowOff>120796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5715000"/>
          <a:ext cx="3961891" cy="354979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72C34B-D356-44A9-AC4B-214342DF64BB}" name="Tabella1" displayName="Tabella1" ref="A2:E7" totalsRowShown="0" headerRowDxfId="7" dataDxfId="6" tableBorderDxfId="5">
  <tableColumns count="5">
    <tableColumn id="1" xr3:uid="{4AD896E9-4D8E-4FBB-82E4-BC6D240A0FDC}" name="Material " dataDxfId="4"/>
    <tableColumn id="2" xr3:uid="{ACF66C39-7426-4056-9A52-21463C8DCC78}" name="Similar commodity " dataDxfId="3"/>
    <tableColumn id="3" xr3:uid="{89D09599-217A-477C-B3CF-4D25704153D9}" name="Mold metal cost coefficient (US$/kg)" dataDxfId="2"/>
    <tableColumn id="4" xr3:uid="{0850DC45-FD91-4FB0-8543-D66759A24641}" name="Density (kg/m3)" dataDxfId="1"/>
    <tableColumn id="5" xr3:uid="{0AB1339E-A0C5-4BB4-BF20-6BD7FA055506}" name="Hardnes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2.xml"/><Relationship Id="rId18" Type="http://schemas.openxmlformats.org/officeDocument/2006/relationships/ctrlProp" Target="../ctrlProps/ctrlProp47.xml"/><Relationship Id="rId26" Type="http://schemas.openxmlformats.org/officeDocument/2006/relationships/ctrlProp" Target="../ctrlProps/ctrlProp5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50.xml"/><Relationship Id="rId34" Type="http://schemas.openxmlformats.org/officeDocument/2006/relationships/ctrlProp" Target="../ctrlProps/ctrlProp63.x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17" Type="http://schemas.openxmlformats.org/officeDocument/2006/relationships/ctrlProp" Target="../ctrlProps/ctrlProp46.xml"/><Relationship Id="rId25" Type="http://schemas.openxmlformats.org/officeDocument/2006/relationships/ctrlProp" Target="../ctrlProps/ctrlProp54.xml"/><Relationship Id="rId33" Type="http://schemas.openxmlformats.org/officeDocument/2006/relationships/ctrlProp" Target="../ctrlProps/ctrlProp6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5.xml"/><Relationship Id="rId20" Type="http://schemas.openxmlformats.org/officeDocument/2006/relationships/ctrlProp" Target="../ctrlProps/ctrlProp49.xml"/><Relationship Id="rId29" Type="http://schemas.openxmlformats.org/officeDocument/2006/relationships/ctrlProp" Target="../ctrlProps/ctrlProp5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24" Type="http://schemas.openxmlformats.org/officeDocument/2006/relationships/ctrlProp" Target="../ctrlProps/ctrlProp53.xml"/><Relationship Id="rId32" Type="http://schemas.openxmlformats.org/officeDocument/2006/relationships/ctrlProp" Target="../ctrlProps/ctrlProp61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23" Type="http://schemas.openxmlformats.org/officeDocument/2006/relationships/ctrlProp" Target="../ctrlProps/ctrlProp52.xml"/><Relationship Id="rId28" Type="http://schemas.openxmlformats.org/officeDocument/2006/relationships/ctrlProp" Target="../ctrlProps/ctrlProp57.xml"/><Relationship Id="rId10" Type="http://schemas.openxmlformats.org/officeDocument/2006/relationships/ctrlProp" Target="../ctrlProps/ctrlProp39.xml"/><Relationship Id="rId19" Type="http://schemas.openxmlformats.org/officeDocument/2006/relationships/ctrlProp" Target="../ctrlProps/ctrlProp48.xml"/><Relationship Id="rId31" Type="http://schemas.openxmlformats.org/officeDocument/2006/relationships/ctrlProp" Target="../ctrlProps/ctrlProp60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Relationship Id="rId22" Type="http://schemas.openxmlformats.org/officeDocument/2006/relationships/ctrlProp" Target="../ctrlProps/ctrlProp51.xml"/><Relationship Id="rId27" Type="http://schemas.openxmlformats.org/officeDocument/2006/relationships/ctrlProp" Target="../ctrlProps/ctrlProp56.xml"/><Relationship Id="rId30" Type="http://schemas.openxmlformats.org/officeDocument/2006/relationships/ctrlProp" Target="../ctrlProps/ctrlProp59.xml"/><Relationship Id="rId35" Type="http://schemas.openxmlformats.org/officeDocument/2006/relationships/ctrlProp" Target="../ctrlProps/ctrlProp64.xml"/><Relationship Id="rId8" Type="http://schemas.openxmlformats.org/officeDocument/2006/relationships/ctrlProp" Target="../ctrlProps/ctrlProp3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C1CB4-EF91-4DC6-B366-7472B06304DE}">
  <sheetPr codeName="Foglio8"/>
  <dimension ref="A1:B5"/>
  <sheetViews>
    <sheetView zoomScale="130" zoomScaleNormal="130" workbookViewId="0">
      <selection activeCell="C8" sqref="C8"/>
    </sheetView>
  </sheetViews>
  <sheetFormatPr defaultRowHeight="15"/>
  <sheetData>
    <row r="1" spans="1:2">
      <c r="A1" s="37">
        <v>1</v>
      </c>
      <c r="B1" t="s">
        <v>0</v>
      </c>
    </row>
    <row r="2" spans="1:2">
      <c r="A2" s="37">
        <v>2</v>
      </c>
      <c r="B2" t="s">
        <v>1</v>
      </c>
    </row>
    <row r="3" spans="1:2">
      <c r="A3" s="37">
        <v>3</v>
      </c>
      <c r="B3" t="s">
        <v>2</v>
      </c>
    </row>
    <row r="4" spans="1:2">
      <c r="A4" s="37">
        <v>4</v>
      </c>
      <c r="B4" t="s">
        <v>3</v>
      </c>
    </row>
    <row r="5" spans="1:2">
      <c r="A5" s="37">
        <v>5</v>
      </c>
      <c r="B5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2CF4A-47EC-46CC-89FF-E985586C288D}">
  <sheetPr codeName="Foglio1"/>
  <dimension ref="A1:M66"/>
  <sheetViews>
    <sheetView zoomScale="115" zoomScaleNormal="115" workbookViewId="0">
      <pane ySplit="1" topLeftCell="A2" activePane="bottomLeft" state="frozen"/>
      <selection pane="bottomLeft" activeCell="D34" sqref="D34"/>
    </sheetView>
  </sheetViews>
  <sheetFormatPr defaultRowHeight="15"/>
  <cols>
    <col min="1" max="1" width="34" bestFit="1" customWidth="1"/>
    <col min="2" max="2" width="12.85546875" customWidth="1"/>
    <col min="3" max="3" width="5" bestFit="1" customWidth="1"/>
    <col min="4" max="4" width="15.42578125" customWidth="1"/>
    <col min="5" max="5" width="12.140625" customWidth="1"/>
    <col min="6" max="6" width="38.28515625" bestFit="1" customWidth="1"/>
    <col min="7" max="7" width="8.42578125" customWidth="1"/>
    <col min="8" max="8" width="4.140625" customWidth="1"/>
    <col min="9" max="9" width="38.28515625" bestFit="1" customWidth="1"/>
    <col min="10" max="10" width="12.5703125" bestFit="1" customWidth="1"/>
    <col min="11" max="11" width="11" bestFit="1" customWidth="1"/>
    <col min="12" max="12" width="10.5703125" customWidth="1"/>
  </cols>
  <sheetData>
    <row r="1" spans="1:13" ht="33" customHeight="1" thickBot="1">
      <c r="A1" s="104" t="s">
        <v>5</v>
      </c>
      <c r="B1" s="105">
        <f>$L$2</f>
        <v>0.34539498695154608</v>
      </c>
      <c r="C1" s="104" t="s">
        <v>6</v>
      </c>
      <c r="D1" s="64"/>
      <c r="E1" s="105">
        <f>$L$5</f>
        <v>4.8460809600000002E-2</v>
      </c>
      <c r="F1" s="104" t="s">
        <v>7</v>
      </c>
      <c r="G1" s="105">
        <f>$L$10</f>
        <v>0.28376030666666668</v>
      </c>
      <c r="H1" s="104" t="s">
        <v>8</v>
      </c>
      <c r="I1" s="64"/>
      <c r="J1" s="105">
        <f>$L$16</f>
        <v>6.2659709458484812E-3</v>
      </c>
      <c r="K1" s="104" t="s">
        <v>9</v>
      </c>
      <c r="L1" s="106">
        <f>$L$19</f>
        <v>3132.9854729242406</v>
      </c>
      <c r="M1" s="64"/>
    </row>
    <row r="2" spans="1:13" ht="33" customHeight="1" thickBot="1">
      <c r="A2" s="3" t="s">
        <v>10</v>
      </c>
      <c r="I2" s="55" t="s">
        <v>5</v>
      </c>
      <c r="J2" s="7" t="s">
        <v>11</v>
      </c>
      <c r="K2" s="7" t="s">
        <v>12</v>
      </c>
      <c r="L2" s="56">
        <f>($L$5+$L$10+$L$16)/$L$3</f>
        <v>0.34539498695154608</v>
      </c>
    </row>
    <row r="3" spans="1:13" ht="24" customHeight="1">
      <c r="A3" s="97" t="s">
        <v>13</v>
      </c>
      <c r="B3" s="115" t="s">
        <v>14</v>
      </c>
      <c r="C3" s="100"/>
      <c r="D3" s="101"/>
      <c r="I3" t="s">
        <v>15</v>
      </c>
      <c r="L3" s="2">
        <f>CHOOSE('Machine coefficients'!$C$23,'Machine coefficients'!C25,'Machine coefficients'!C26,'Machine coefficients'!C27,'Machine coefficients'!C28,'Machine coefficients'!C29,'Machine coefficients'!C30)</f>
        <v>0.98</v>
      </c>
    </row>
    <row r="4" spans="1:13" ht="18">
      <c r="A4" s="102" t="s">
        <v>16</v>
      </c>
      <c r="B4" t="s">
        <v>17</v>
      </c>
      <c r="D4" s="96">
        <v>1000000</v>
      </c>
    </row>
    <row r="5" spans="1:13" ht="33" customHeight="1" thickBot="1">
      <c r="A5" s="98" t="s">
        <v>18</v>
      </c>
      <c r="B5" s="64"/>
      <c r="C5" s="64"/>
      <c r="D5" s="95"/>
      <c r="I5" s="55" t="s">
        <v>6</v>
      </c>
      <c r="J5" s="7" t="s">
        <v>19</v>
      </c>
      <c r="K5" s="7" t="s">
        <v>12</v>
      </c>
      <c r="L5" s="56">
        <f>L6*L7*L8*C19/1000000</f>
        <v>4.8460809600000002E-2</v>
      </c>
      <c r="M5" s="103">
        <f>L5/$L$2</f>
        <v>0.1403054804811002</v>
      </c>
    </row>
    <row r="6" spans="1:13" ht="33" customHeight="1">
      <c r="I6" s="7" t="s">
        <v>20</v>
      </c>
      <c r="J6" s="7" t="s">
        <v>21</v>
      </c>
      <c r="K6" s="7" t="s">
        <v>22</v>
      </c>
      <c r="L6" s="7">
        <f>$D$12</f>
        <v>15.35</v>
      </c>
    </row>
    <row r="7" spans="1:13" ht="18.75" thickBot="1">
      <c r="A7" s="68" t="s">
        <v>23</v>
      </c>
      <c r="I7" s="7" t="s">
        <v>24</v>
      </c>
      <c r="J7" s="33" t="s">
        <v>25</v>
      </c>
      <c r="K7" s="7" t="s">
        <v>26</v>
      </c>
      <c r="L7" s="7">
        <f>CHOOSE(Materials!$A$30,Materials!$F$2,Materials!$F$3,Materials!$F$4,Materials!$F$5,Materials!$F$6,Materials!$F$7,Materials!$F$8,Materials!$F$9,Materials!$F$10,Materials!$F$11,Materials!$F$12,Materials!$F$13,Materials!$F$14,Materials!$F$15,Materials!$F$16,Materials!$F$17)</f>
        <v>1044</v>
      </c>
    </row>
    <row r="8" spans="1:13" ht="33" customHeight="1">
      <c r="A8" s="57" t="s">
        <v>27</v>
      </c>
      <c r="B8" s="58"/>
      <c r="C8" s="58"/>
      <c r="D8" s="59"/>
      <c r="I8" s="7" t="s">
        <v>28</v>
      </c>
      <c r="J8" s="33" t="s">
        <v>29</v>
      </c>
      <c r="K8" s="7" t="s">
        <v>30</v>
      </c>
      <c r="L8" s="7">
        <f>CHOOSE(Materials!$A$30,Materials!$E$2,Materials!$E$3,Materials!$E$4,Materials!$E$5,Materials!$E$6,Materials!$E$7,Materials!$E$8,Materials!$E$9,Materials!$E$10,Materials!$E$11,Materials!$E$12,Materials!$E$13,Materials!$E$14,Materials!$E$15,Materials!$E$16,Materials!$E$17)</f>
        <v>2.8</v>
      </c>
    </row>
    <row r="9" spans="1:13" ht="33" customHeight="1" thickBot="1">
      <c r="A9" s="62" t="s">
        <v>31</v>
      </c>
      <c r="B9" s="63"/>
      <c r="C9" s="63"/>
      <c r="D9" s="95"/>
      <c r="I9" s="7"/>
      <c r="J9" s="7"/>
    </row>
    <row r="10" spans="1:13" ht="33" customHeight="1" thickBot="1">
      <c r="A10" s="68" t="s">
        <v>32</v>
      </c>
      <c r="I10" s="3" t="s">
        <v>7</v>
      </c>
      <c r="J10" t="s">
        <v>33</v>
      </c>
      <c r="K10" t="s">
        <v>12</v>
      </c>
      <c r="L10" s="34">
        <f>$L$11/$L$12*$L$13/3600</f>
        <v>0.28376030666666668</v>
      </c>
      <c r="M10" s="103">
        <f>L10/$L$2</f>
        <v>0.82155305486953734</v>
      </c>
    </row>
    <row r="11" spans="1:13" ht="18">
      <c r="A11" s="57" t="s">
        <v>34</v>
      </c>
      <c r="B11" s="58" t="s">
        <v>35</v>
      </c>
      <c r="C11" s="58" t="s">
        <v>36</v>
      </c>
      <c r="D11" s="69">
        <v>2</v>
      </c>
      <c r="I11" t="s">
        <v>37</v>
      </c>
      <c r="J11" t="s">
        <v>38</v>
      </c>
      <c r="K11" t="s">
        <v>39</v>
      </c>
      <c r="L11">
        <f>4*$D$11^2*$C$20</f>
        <v>20</v>
      </c>
    </row>
    <row r="12" spans="1:13" ht="18">
      <c r="A12" s="60" t="s">
        <v>20</v>
      </c>
      <c r="B12" s="7" t="s">
        <v>21</v>
      </c>
      <c r="C12" s="7" t="s">
        <v>22</v>
      </c>
      <c r="D12" s="70">
        <v>15.35</v>
      </c>
      <c r="I12" t="s">
        <v>40</v>
      </c>
      <c r="J12" t="s">
        <v>41</v>
      </c>
      <c r="L12">
        <f>$D$32*$D$33</f>
        <v>1</v>
      </c>
    </row>
    <row r="13" spans="1:13" ht="18">
      <c r="A13" s="60" t="s">
        <v>42</v>
      </c>
      <c r="B13" s="7" t="s">
        <v>43</v>
      </c>
      <c r="C13" s="7" t="s">
        <v>44</v>
      </c>
      <c r="D13" s="70">
        <v>8.33</v>
      </c>
      <c r="F13" s="7"/>
      <c r="G13" s="33"/>
      <c r="I13" t="s">
        <v>45</v>
      </c>
      <c r="J13" t="s">
        <v>46</v>
      </c>
      <c r="K13" t="s">
        <v>47</v>
      </c>
      <c r="L13" s="36">
        <f>(43.3+0.095*$L$14)*$C$21</f>
        <v>51.076855200000004</v>
      </c>
    </row>
    <row r="14" spans="1:13" ht="18">
      <c r="A14" s="60" t="s">
        <v>48</v>
      </c>
      <c r="B14" s="7" t="s">
        <v>49</v>
      </c>
      <c r="C14" s="7" t="s">
        <v>44</v>
      </c>
      <c r="D14" s="70">
        <v>8.23</v>
      </c>
      <c r="F14" s="7"/>
      <c r="G14" s="33"/>
      <c r="I14" t="s">
        <v>50</v>
      </c>
      <c r="J14" t="s">
        <v>51</v>
      </c>
      <c r="K14" t="s">
        <v>52</v>
      </c>
      <c r="L14" s="36">
        <f>80*10^6*$L$12*$D$17/10^4/9800</f>
        <v>56.2592</v>
      </c>
    </row>
    <row r="15" spans="1:13" ht="18">
      <c r="A15" s="60" t="s">
        <v>53</v>
      </c>
      <c r="B15" s="7" t="s">
        <v>54</v>
      </c>
      <c r="C15" s="7" t="s">
        <v>44</v>
      </c>
      <c r="D15" s="70">
        <v>4.8499999999999996</v>
      </c>
      <c r="F15" s="7"/>
      <c r="G15" s="33"/>
    </row>
    <row r="16" spans="1:13" ht="18">
      <c r="A16" s="60" t="s">
        <v>55</v>
      </c>
      <c r="B16" s="7" t="s">
        <v>56</v>
      </c>
      <c r="C16" s="7" t="s">
        <v>57</v>
      </c>
      <c r="D16" s="70">
        <v>18.2438</v>
      </c>
      <c r="F16" s="7"/>
      <c r="G16" s="33"/>
      <c r="I16" s="55" t="s">
        <v>8</v>
      </c>
      <c r="J16" s="7" t="s">
        <v>58</v>
      </c>
      <c r="K16" s="7" t="s">
        <v>12</v>
      </c>
      <c r="L16" s="56">
        <f>$L$19*$M$17/$D$4</f>
        <v>6.2659709458484812E-3</v>
      </c>
      <c r="M16" s="103">
        <f>L16/$L$2</f>
        <v>1.8141464649362459E-2</v>
      </c>
    </row>
    <row r="17" spans="1:13" ht="18" customHeight="1" thickBot="1">
      <c r="A17" s="62" t="s">
        <v>59</v>
      </c>
      <c r="B17" s="63" t="s">
        <v>60</v>
      </c>
      <c r="C17" s="64" t="s">
        <v>57</v>
      </c>
      <c r="D17" s="71">
        <v>68.917519999999996</v>
      </c>
      <c r="I17" t="s">
        <v>61</v>
      </c>
      <c r="J17" t="s">
        <v>62</v>
      </c>
      <c r="L17">
        <f>CHOOSE('Mold coefficients'!D79,'Mold coefficients'!C80,'Mold coefficients'!C81,'Mold coefficients'!C82,'Mold coefficients'!C83,'Mold coefficients'!C84,'Mold coefficients'!C85,'Mold coefficients'!C86,'Mold coefficients'!C87,'Mold coefficients'!C88)</f>
        <v>2</v>
      </c>
      <c r="M17">
        <f>IF($L$17*$D$4/1000000&gt;1,$L$17*$D$4/1000000,1)</f>
        <v>2</v>
      </c>
    </row>
    <row r="18" spans="1:13" ht="33" customHeight="1" thickBot="1">
      <c r="A18" s="68" t="s">
        <v>63</v>
      </c>
      <c r="B18" s="7"/>
    </row>
    <row r="19" spans="1:13" ht="46.5" customHeight="1">
      <c r="A19" s="57" t="s">
        <v>64</v>
      </c>
      <c r="B19" s="65" t="s">
        <v>65</v>
      </c>
      <c r="C19" s="66">
        <f>CHOOSE('Machine coefficients'!B1,'Machine coefficients'!B3,'Machine coefficients'!B4,'Machine coefficients'!B5,'Machine coefficients'!B6)</f>
        <v>1.08</v>
      </c>
      <c r="D19" s="59"/>
      <c r="I19" s="55" t="s">
        <v>9</v>
      </c>
      <c r="J19" s="7" t="s">
        <v>66</v>
      </c>
      <c r="K19" s="7" t="s">
        <v>12</v>
      </c>
      <c r="L19" s="131">
        <f>$L$20+$L$27+$L$45</f>
        <v>3132.9854729242406</v>
      </c>
    </row>
    <row r="20" spans="1:13" ht="63.75" customHeight="1">
      <c r="A20" s="60" t="s">
        <v>67</v>
      </c>
      <c r="B20" s="7" t="s">
        <v>68</v>
      </c>
      <c r="C20" s="67">
        <f>CHOOSE('Machine coefficients'!B8,'Machine coefficients'!B10,'Machine coefficients'!B11,'Machine coefficients'!B12,'Machine coefficients'!B13,'Machine coefficients'!B14,'Machine coefficients'!B15)</f>
        <v>1.25</v>
      </c>
      <c r="D20" s="61"/>
      <c r="I20" s="7" t="s">
        <v>69</v>
      </c>
      <c r="J20" s="7" t="s">
        <v>70</v>
      </c>
      <c r="K20" s="7" t="s">
        <v>12</v>
      </c>
      <c r="L20" s="75">
        <f>910+$L$23*$L$22</f>
        <v>1181.4313256045111</v>
      </c>
    </row>
    <row r="21" spans="1:13" ht="33" customHeight="1">
      <c r="A21" s="60" t="s">
        <v>71</v>
      </c>
      <c r="B21" s="7" t="s">
        <v>72</v>
      </c>
      <c r="C21" s="67">
        <f>CHOOSE('Machine coefficients'!B17,'Machine coefficients'!B19,'Machine coefficients'!B20,'Machine coefficients'!B21)+IF(E22,0.1)+IF(E23,0.05)+IF(E24,0.05)+IF(E25,0.1)+IF(E26,0.1)+IF(E27,0.3)+IF(E28,0.3)+IF(E29,0.6)+IF(E30,0.9)</f>
        <v>1.05</v>
      </c>
      <c r="D21" s="61"/>
      <c r="I21" s="7" t="s">
        <v>73</v>
      </c>
      <c r="J21" s="7"/>
      <c r="K21" s="7" t="s">
        <v>26</v>
      </c>
      <c r="L21" s="7">
        <f>CHOOSE('Mold coefficients'!D1,'Mold coefficients'!D3,'Mold coefficients'!D4,'Mold coefficients'!D5,'Mold coefficients'!D6,'Mold coefficients'!D7)</f>
        <v>7800</v>
      </c>
    </row>
    <row r="22" spans="1:13" ht="18" customHeight="1">
      <c r="A22" s="60" t="s">
        <v>74</v>
      </c>
      <c r="D22" s="73"/>
      <c r="E22" s="72" t="b">
        <v>0</v>
      </c>
      <c r="I22" s="7" t="s">
        <v>75</v>
      </c>
      <c r="J22" s="33" t="s">
        <v>76</v>
      </c>
      <c r="K22" s="7" t="s">
        <v>30</v>
      </c>
      <c r="L22" s="7">
        <f>CHOOSE('Mold coefficients'!D1,'Mold coefficients'!C3,'Mold coefficients'!C4,'Mold coefficients'!C5,'Mold coefficients'!C6,'Mold coefficients'!C7)</f>
        <v>3.99</v>
      </c>
    </row>
    <row r="23" spans="1:13" ht="18" customHeight="1">
      <c r="A23" s="60" t="s">
        <v>77</v>
      </c>
      <c r="D23" s="73"/>
      <c r="E23" s="72" t="b">
        <v>1</v>
      </c>
      <c r="I23" t="s">
        <v>78</v>
      </c>
      <c r="J23" s="33" t="s">
        <v>79</v>
      </c>
      <c r="K23" s="7" t="s">
        <v>80</v>
      </c>
      <c r="L23" s="36">
        <f>$L$21*$L$24/100*L25/100*L26/100</f>
        <v>68.027901154012781</v>
      </c>
    </row>
    <row r="24" spans="1:13" ht="18" customHeight="1">
      <c r="A24" s="60" t="s">
        <v>81</v>
      </c>
      <c r="D24" s="73"/>
      <c r="E24" s="72" t="b">
        <v>0</v>
      </c>
      <c r="I24" s="116" t="s">
        <v>82</v>
      </c>
      <c r="J24" s="117" t="s">
        <v>83</v>
      </c>
      <c r="K24" s="117" t="s">
        <v>44</v>
      </c>
      <c r="L24" s="118">
        <f>$L$32*$D$32*1.33</f>
        <v>17.529399999999999</v>
      </c>
    </row>
    <row r="25" spans="1:13" ht="18" customHeight="1">
      <c r="A25" s="60" t="s">
        <v>84</v>
      </c>
      <c r="D25" s="73"/>
      <c r="E25" s="72" t="b">
        <v>0</v>
      </c>
      <c r="I25" s="119" t="s">
        <v>85</v>
      </c>
      <c r="J25" s="7" t="s">
        <v>86</v>
      </c>
      <c r="K25" s="7" t="s">
        <v>44</v>
      </c>
      <c r="L25" s="120">
        <f>$L$33*$D$33*1.33</f>
        <v>17.3964</v>
      </c>
    </row>
    <row r="26" spans="1:13" ht="18" customHeight="1">
      <c r="A26" s="60" t="s">
        <v>87</v>
      </c>
      <c r="D26" s="73"/>
      <c r="E26" s="72" t="b">
        <v>0</v>
      </c>
      <c r="I26" s="121" t="s">
        <v>88</v>
      </c>
      <c r="J26" s="122" t="s">
        <v>89</v>
      </c>
      <c r="K26" s="122" t="s">
        <v>44</v>
      </c>
      <c r="L26" s="123">
        <f>18.9+MAX(5.7,$L$34)</f>
        <v>28.599999999999998</v>
      </c>
    </row>
    <row r="27" spans="1:13" ht="18" customHeight="1">
      <c r="A27" s="60" t="s">
        <v>90</v>
      </c>
      <c r="D27" s="73"/>
      <c r="E27" s="72" t="b">
        <v>0</v>
      </c>
      <c r="I27" s="7" t="s">
        <v>91</v>
      </c>
      <c r="J27" s="7" t="s">
        <v>92</v>
      </c>
      <c r="K27" s="7" t="s">
        <v>12</v>
      </c>
      <c r="L27" s="99">
        <f>$L$28*$L$12*IF($L$12&lt;16,$L$12^-0.273,0.52)</f>
        <v>288.56030086179237</v>
      </c>
    </row>
    <row r="28" spans="1:13" ht="18" customHeight="1">
      <c r="A28" s="60" t="s">
        <v>93</v>
      </c>
      <c r="D28" s="73"/>
      <c r="E28" s="72" t="b">
        <v>0</v>
      </c>
      <c r="I28" s="7" t="s">
        <v>94</v>
      </c>
      <c r="J28" s="7" t="s">
        <v>95</v>
      </c>
      <c r="K28" s="7" t="s">
        <v>12</v>
      </c>
      <c r="L28" s="99">
        <f>$L$29+$L$35+$L$43</f>
        <v>288.56030086179237</v>
      </c>
    </row>
    <row r="29" spans="1:13" ht="18" customHeight="1">
      <c r="A29" s="60" t="s">
        <v>96</v>
      </c>
      <c r="D29" s="73"/>
      <c r="E29" s="72" t="b">
        <v>0</v>
      </c>
      <c r="I29" s="7" t="s">
        <v>97</v>
      </c>
      <c r="J29" s="7" t="s">
        <v>98</v>
      </c>
      <c r="K29" s="7" t="s">
        <v>12</v>
      </c>
      <c r="L29" s="36">
        <f>$L$30*$L$31</f>
        <v>152.17253687999997</v>
      </c>
    </row>
    <row r="30" spans="1:13" ht="18.75" thickBot="1">
      <c r="A30" s="62" t="s">
        <v>99</v>
      </c>
      <c r="B30" s="64"/>
      <c r="C30" s="64"/>
      <c r="D30" s="74"/>
      <c r="E30" s="72" t="b">
        <v>0</v>
      </c>
      <c r="I30" s="7" t="s">
        <v>100</v>
      </c>
      <c r="J30" s="33" t="s">
        <v>101</v>
      </c>
      <c r="K30" s="7" t="s">
        <v>102</v>
      </c>
      <c r="L30">
        <f>CHOOSE('Mold coefficients'!D9,'Mold coefficients'!B11,'Mold coefficients'!B12,'Mold coefficients'!B13,'Mold coefficients'!B14,'Mold coefficients'!B15,'Mold coefficients'!B16,'Mold coefficients'!B17,'Mold coefficients'!B18,'Mold coefficients'!B19,'Mold coefficients'!B20,'Mold coefficients'!B21)</f>
        <v>9.0999999999999998E-2</v>
      </c>
    </row>
    <row r="31" spans="1:13" ht="33" customHeight="1" thickBot="1">
      <c r="A31" s="114" t="s">
        <v>103</v>
      </c>
      <c r="I31" t="s">
        <v>104</v>
      </c>
      <c r="J31" s="33" t="s">
        <v>105</v>
      </c>
      <c r="K31" s="7" t="s">
        <v>22</v>
      </c>
      <c r="L31" s="36">
        <f>$L$32*$L$33*$L$34</f>
        <v>1672.2256799999998</v>
      </c>
    </row>
    <row r="32" spans="1:13" ht="18">
      <c r="A32" s="97" t="s">
        <v>106</v>
      </c>
      <c r="B32" s="107" t="s">
        <v>107</v>
      </c>
      <c r="C32" s="107"/>
      <c r="D32" s="108">
        <v>1</v>
      </c>
      <c r="I32" s="116" t="s">
        <v>108</v>
      </c>
      <c r="J32" s="117" t="s">
        <v>109</v>
      </c>
      <c r="K32" s="117" t="s">
        <v>44</v>
      </c>
      <c r="L32" s="118">
        <f>$D$13+MAX(0.1*$D$13,$D$15)</f>
        <v>13.18</v>
      </c>
    </row>
    <row r="33" spans="1:12" ht="18" customHeight="1">
      <c r="A33" s="102" t="s">
        <v>110</v>
      </c>
      <c r="B33" t="s">
        <v>111</v>
      </c>
      <c r="D33" s="73">
        <v>1</v>
      </c>
      <c r="I33" s="119" t="s">
        <v>112</v>
      </c>
      <c r="J33" s="7" t="s">
        <v>113</v>
      </c>
      <c r="K33" s="7" t="s">
        <v>44</v>
      </c>
      <c r="L33" s="120">
        <f>$D$14+MAX(0.1*$D$14,$D$15)</f>
        <v>13.08</v>
      </c>
    </row>
    <row r="34" spans="1:12" ht="33" customHeight="1">
      <c r="A34" s="60" t="s">
        <v>114</v>
      </c>
      <c r="D34" s="61"/>
      <c r="I34" s="121" t="s">
        <v>115</v>
      </c>
      <c r="J34" s="122" t="s">
        <v>116</v>
      </c>
      <c r="K34" s="122" t="s">
        <v>44</v>
      </c>
      <c r="L34" s="124">
        <f>MAX(5.7,2*$D$15)</f>
        <v>9.6999999999999993</v>
      </c>
    </row>
    <row r="35" spans="1:12" ht="33" customHeight="1">
      <c r="A35" s="60" t="s">
        <v>117</v>
      </c>
      <c r="D35" s="61"/>
      <c r="I35" t="s">
        <v>118</v>
      </c>
      <c r="J35" s="7" t="s">
        <v>119</v>
      </c>
      <c r="K35" s="7" t="s">
        <v>12</v>
      </c>
      <c r="L35" s="99">
        <f>$L$36*$D$37</f>
        <v>67.973513981792422</v>
      </c>
    </row>
    <row r="36" spans="1:12" ht="33" customHeight="1">
      <c r="A36" s="60" t="s">
        <v>120</v>
      </c>
      <c r="D36" s="61"/>
      <c r="I36" t="s">
        <v>121</v>
      </c>
      <c r="J36" s="7" t="s">
        <v>122</v>
      </c>
      <c r="K36" s="7" t="s">
        <v>123</v>
      </c>
      <c r="L36" s="36">
        <f>($L$37+$L$39)*$L$41*$L$42/$D$43</f>
        <v>0.67973513981792422</v>
      </c>
    </row>
    <row r="37" spans="1:12" ht="18" customHeight="1">
      <c r="A37" s="102" t="s">
        <v>124</v>
      </c>
      <c r="B37" t="s">
        <v>125</v>
      </c>
      <c r="C37" t="s">
        <v>47</v>
      </c>
      <c r="D37" s="73">
        <v>100</v>
      </c>
      <c r="I37" t="s">
        <v>126</v>
      </c>
      <c r="J37" s="7" t="s">
        <v>127</v>
      </c>
      <c r="K37" s="7" t="s">
        <v>123</v>
      </c>
      <c r="L37" s="2">
        <f>$D$13*$D$14*$D$15/10^6/$L$38</f>
        <v>0.33249611500000004</v>
      </c>
    </row>
    <row r="38" spans="1:12" ht="33" customHeight="1">
      <c r="A38" s="132" t="s">
        <v>128</v>
      </c>
      <c r="B38" t="s">
        <v>129</v>
      </c>
      <c r="C38" s="72">
        <v>0.5</v>
      </c>
      <c r="D38" s="109">
        <v>0.05</v>
      </c>
      <c r="E38" s="72">
        <f>C38*D38</f>
        <v>2.5000000000000001E-2</v>
      </c>
      <c r="I38" t="s">
        <v>130</v>
      </c>
      <c r="J38" s="7" t="s">
        <v>131</v>
      </c>
      <c r="K38" s="7" t="s">
        <v>132</v>
      </c>
      <c r="L38">
        <f>CHOOSE('Mold coefficients'!D9,'Mold coefficients'!C11,'Mold coefficients'!C12,'Mold coefficients'!C13,'Mold coefficients'!C14,'Mold coefficients'!C15,'Mold coefficients'!C16,'Mold coefficients'!C17,'Mold coefficients'!C18,'Mold coefficients'!C19,'Mold coefficients'!C20,'Mold coefficients'!C21)</f>
        <v>1E-3</v>
      </c>
    </row>
    <row r="39" spans="1:12" ht="18">
      <c r="A39" s="132"/>
      <c r="B39" t="s">
        <v>133</v>
      </c>
      <c r="C39" s="72">
        <v>0.5</v>
      </c>
      <c r="D39" s="109">
        <v>0.05</v>
      </c>
      <c r="E39" s="72">
        <f t="shared" ref="E39:E42" si="0">C39*D39</f>
        <v>2.5000000000000001E-2</v>
      </c>
      <c r="I39" t="s">
        <v>134</v>
      </c>
      <c r="J39" t="s">
        <v>135</v>
      </c>
      <c r="K39" s="7" t="s">
        <v>123</v>
      </c>
      <c r="L39" s="2">
        <f>$D$16/10^4/$L$40</f>
        <v>7.6015833333333338E-2</v>
      </c>
    </row>
    <row r="40" spans="1:12" ht="18">
      <c r="A40" s="132"/>
      <c r="B40" t="s">
        <v>136</v>
      </c>
      <c r="C40" s="72">
        <v>1</v>
      </c>
      <c r="D40" s="109">
        <v>0.5</v>
      </c>
      <c r="E40" s="72">
        <f t="shared" si="0"/>
        <v>0.5</v>
      </c>
      <c r="I40" t="s">
        <v>137</v>
      </c>
      <c r="J40" s="7" t="s">
        <v>138</v>
      </c>
      <c r="K40" s="7" t="s">
        <v>139</v>
      </c>
      <c r="L40">
        <f>CHOOSE('Mold coefficients'!D9,'Mold coefficients'!D11,'Mold coefficients'!D12,'Mold coefficients'!D13,'Mold coefficients'!D14,'Mold coefficients'!D15,'Mold coefficients'!D16,'Mold coefficients'!D17,'Mold coefficients'!D18,'Mold coefficients'!D19,'Mold coefficients'!D20,'Mold coefficients'!D21)</f>
        <v>2.4E-2</v>
      </c>
    </row>
    <row r="41" spans="1:12" ht="18">
      <c r="A41" s="132"/>
      <c r="B41" t="s">
        <v>140</v>
      </c>
      <c r="C41" s="72">
        <v>2</v>
      </c>
      <c r="D41" s="109">
        <v>0.2</v>
      </c>
      <c r="E41" s="72">
        <f t="shared" si="0"/>
        <v>0.4</v>
      </c>
      <c r="I41" t="s">
        <v>141</v>
      </c>
      <c r="J41" s="7" t="s">
        <v>142</v>
      </c>
      <c r="L41" s="35">
        <f>$D$16*$D$11/10/$D$12</f>
        <v>0.23770423452768732</v>
      </c>
    </row>
    <row r="42" spans="1:12" ht="18">
      <c r="A42" s="132"/>
      <c r="B42" t="s">
        <v>143</v>
      </c>
      <c r="C42" s="72">
        <v>4</v>
      </c>
      <c r="D42" s="109">
        <v>0.2</v>
      </c>
      <c r="E42" s="72">
        <f t="shared" si="0"/>
        <v>0.8</v>
      </c>
      <c r="I42" s="7" t="s">
        <v>144</v>
      </c>
      <c r="J42" s="7" t="s">
        <v>145</v>
      </c>
      <c r="L42">
        <f>SUM(E38:E42)</f>
        <v>1.75</v>
      </c>
    </row>
    <row r="43" spans="1:12" ht="18">
      <c r="A43" s="102" t="s">
        <v>146</v>
      </c>
      <c r="B43" t="s">
        <v>147</v>
      </c>
      <c r="D43" s="109">
        <v>0.25</v>
      </c>
      <c r="I43" t="s">
        <v>148</v>
      </c>
      <c r="J43" t="s">
        <v>149</v>
      </c>
      <c r="K43" s="7" t="s">
        <v>12</v>
      </c>
      <c r="L43" s="36">
        <f>$D$52*$L$44</f>
        <v>68.414249999999996</v>
      </c>
    </row>
    <row r="44" spans="1:12" ht="18">
      <c r="A44" s="102" t="s">
        <v>150</v>
      </c>
      <c r="B44" t="s">
        <v>151</v>
      </c>
      <c r="D44" s="61" t="s">
        <v>152</v>
      </c>
      <c r="I44" t="s">
        <v>153</v>
      </c>
      <c r="J44" t="s">
        <v>154</v>
      </c>
      <c r="K44" s="7" t="s">
        <v>123</v>
      </c>
      <c r="L44" s="36">
        <f>SUM(E45:E51)</f>
        <v>1.368285</v>
      </c>
    </row>
    <row r="45" spans="1:12" ht="18">
      <c r="A45" s="102" t="s">
        <v>155</v>
      </c>
      <c r="B45" s="110" t="s">
        <v>156</v>
      </c>
      <c r="C45" s="72">
        <v>2.0000000000000001E-4</v>
      </c>
      <c r="D45" s="109">
        <v>0</v>
      </c>
      <c r="E45" s="85">
        <f>$D$16/10000*D45/C45</f>
        <v>0</v>
      </c>
      <c r="I45" t="s">
        <v>157</v>
      </c>
      <c r="J45" s="7" t="s">
        <v>158</v>
      </c>
      <c r="K45" t="s">
        <v>12</v>
      </c>
      <c r="L45" s="99">
        <f>$L$27*$L$46+$L$20*$L$47</f>
        <v>1662.9938464579373</v>
      </c>
    </row>
    <row r="46" spans="1:12" ht="18">
      <c r="A46" s="102" t="s">
        <v>159</v>
      </c>
      <c r="B46" s="110">
        <v>2.5000000000000001E-2</v>
      </c>
      <c r="C46" s="72">
        <v>5.0000000000000001E-4</v>
      </c>
      <c r="D46" s="109">
        <v>0</v>
      </c>
      <c r="E46" s="85">
        <f t="shared" ref="E46:E51" si="1">$D$16/10000*D46/C46</f>
        <v>0</v>
      </c>
      <c r="I46" t="s">
        <v>160</v>
      </c>
      <c r="J46" s="7" t="s">
        <v>161</v>
      </c>
      <c r="L46">
        <f>SUM(G53:G66)</f>
        <v>0.85</v>
      </c>
    </row>
    <row r="47" spans="1:12" ht="18" customHeight="1">
      <c r="A47" s="102" t="s">
        <v>162</v>
      </c>
      <c r="B47" s="110">
        <v>0.1</v>
      </c>
      <c r="C47" s="72">
        <v>1E-3</v>
      </c>
      <c r="D47" s="109">
        <v>0.5</v>
      </c>
      <c r="E47" s="85">
        <f t="shared" si="1"/>
        <v>0.91218999999999995</v>
      </c>
      <c r="I47" t="s">
        <v>163</v>
      </c>
      <c r="J47" s="7" t="s">
        <v>164</v>
      </c>
      <c r="L47">
        <f>SUM(H53:H66)</f>
        <v>1.2000000000000002</v>
      </c>
    </row>
    <row r="48" spans="1:12" ht="18" customHeight="1">
      <c r="A48" s="102" t="s">
        <v>165</v>
      </c>
      <c r="B48" s="110">
        <v>0.8</v>
      </c>
      <c r="C48" s="72">
        <v>2E-3</v>
      </c>
      <c r="D48" s="109">
        <v>0.5</v>
      </c>
      <c r="E48" s="85">
        <f t="shared" si="1"/>
        <v>0.45609499999999997</v>
      </c>
    </row>
    <row r="49" spans="1:8" ht="33" customHeight="1">
      <c r="A49" s="102" t="s">
        <v>166</v>
      </c>
      <c r="B49" s="110">
        <v>6.3</v>
      </c>
      <c r="C49" s="72">
        <v>5.0000000000000001E-3</v>
      </c>
      <c r="D49" s="109">
        <v>0</v>
      </c>
      <c r="E49" s="85">
        <f t="shared" si="1"/>
        <v>0</v>
      </c>
    </row>
    <row r="50" spans="1:8" ht="33" customHeight="1">
      <c r="A50" s="102" t="s">
        <v>167</v>
      </c>
      <c r="B50" s="110">
        <v>25</v>
      </c>
      <c r="C50" s="72">
        <v>0.01</v>
      </c>
      <c r="D50" s="109">
        <v>0</v>
      </c>
      <c r="E50" s="85">
        <f t="shared" si="1"/>
        <v>0</v>
      </c>
    </row>
    <row r="51" spans="1:8" ht="33" customHeight="1">
      <c r="A51" s="102" t="s">
        <v>168</v>
      </c>
      <c r="B51" s="110">
        <v>50</v>
      </c>
      <c r="C51" s="72">
        <v>0.02</v>
      </c>
      <c r="D51" s="109">
        <v>0</v>
      </c>
      <c r="E51" s="85">
        <f t="shared" si="1"/>
        <v>0</v>
      </c>
    </row>
    <row r="52" spans="1:8" ht="33" customHeight="1">
      <c r="A52" s="102" t="s">
        <v>169</v>
      </c>
      <c r="B52" t="s">
        <v>170</v>
      </c>
      <c r="C52" t="s">
        <v>47</v>
      </c>
      <c r="D52" s="111">
        <v>50</v>
      </c>
    </row>
    <row r="53" spans="1:8" ht="36" customHeight="1">
      <c r="A53" s="102" t="s">
        <v>171</v>
      </c>
      <c r="D53" s="61"/>
      <c r="G53" s="72">
        <f>CHOOSE('Mold coefficients'!$D$31,'Mold coefficients'!B33,'Mold coefficients'!B34,'Mold coefficients'!B35,'Mold coefficients'!B36,'Mold coefficients'!B37,'Mold coefficients'!B38)</f>
        <v>0.05</v>
      </c>
      <c r="H53" s="72">
        <f>CHOOSE('Mold coefficients'!$D$31,'Mold coefficients'!C33,'Mold coefficients'!C34,'Mold coefficients'!C35,'Mold coefficients'!C36,'Mold coefficients'!C37,'Mold coefficients'!C38)</f>
        <v>0.1</v>
      </c>
    </row>
    <row r="54" spans="1:8" ht="33.75" customHeight="1">
      <c r="A54" s="102" t="s">
        <v>172</v>
      </c>
      <c r="D54" s="61"/>
      <c r="G54" s="72">
        <f>CHOOSE('Mold coefficients'!$D$40,'Mold coefficients'!B42,'Mold coefficients'!B43,'Mold coefficients'!B44,'Mold coefficients'!B45,'Mold coefficients'!B46)</f>
        <v>0.1</v>
      </c>
      <c r="H54" s="72">
        <f>CHOOSE('Mold coefficients'!$D$40,'Mold coefficients'!C42,'Mold coefficients'!C43,'Mold coefficients'!C44,'Mold coefficients'!C45,'Mold coefficients'!C46)</f>
        <v>0.2</v>
      </c>
    </row>
    <row r="55" spans="1:8" ht="32.25" customHeight="1">
      <c r="A55" s="102" t="s">
        <v>173</v>
      </c>
      <c r="D55" s="61"/>
      <c r="G55" s="72">
        <f>CHOOSE('Mold coefficients'!$D$48,'Mold coefficients'!B50,'Mold coefficients'!B51,'Mold coefficients'!B52,'Mold coefficients'!B53,'Mold coefficients'!B54,'Mold coefficients'!B55,'Mold coefficients'!B56)</f>
        <v>0.1</v>
      </c>
      <c r="H55" s="72">
        <f>CHOOSE('Mold coefficients'!$D$48,'Mold coefficients'!C50,'Mold coefficients'!C51,'Mold coefficients'!C52,'Mold coefficients'!C53,'Mold coefficients'!C54,'Mold coefficients'!C55,'Mold coefficients'!C56)</f>
        <v>0.1</v>
      </c>
    </row>
    <row r="56" spans="1:8" ht="36.75" customHeight="1">
      <c r="A56" s="102" t="s">
        <v>174</v>
      </c>
      <c r="D56" s="61"/>
      <c r="G56" s="72">
        <f>CHOOSE('Mold coefficients'!$D$58,'Mold coefficients'!B60,'Mold coefficients'!B61,'Mold coefficients'!B62)</f>
        <v>0</v>
      </c>
      <c r="H56" s="72">
        <f>CHOOSE('Mold coefficients'!$D$58,'Mold coefficients'!C60,'Mold coefficients'!C61,'Mold coefficients'!C62)</f>
        <v>0</v>
      </c>
    </row>
    <row r="57" spans="1:8" ht="34.5" customHeight="1">
      <c r="A57" s="102" t="s">
        <v>175</v>
      </c>
      <c r="D57" s="61"/>
      <c r="G57" s="72">
        <f>CHOOSE('Mold coefficients'!$D$63,'Mold coefficients'!B63,'Mold coefficients'!B64,'Mold coefficients'!B65)</f>
        <v>0.1</v>
      </c>
      <c r="H57" s="72">
        <f>CHOOSE('Mold coefficients'!$D$63,'Mold coefficients'!C63,'Mold coefficients'!C64,'Mold coefficients'!C65)</f>
        <v>0.2</v>
      </c>
    </row>
    <row r="58" spans="1:8">
      <c r="A58" s="102" t="s">
        <v>176</v>
      </c>
      <c r="B58" s="72">
        <v>0.05</v>
      </c>
      <c r="C58" s="72">
        <v>0.1</v>
      </c>
      <c r="D58" s="111"/>
      <c r="E58" s="72" t="b">
        <v>1</v>
      </c>
      <c r="G58" s="72">
        <f>IF($E58,B58,0)</f>
        <v>0.05</v>
      </c>
      <c r="H58" s="72">
        <f>IF($E58,C58,0)</f>
        <v>0.1</v>
      </c>
    </row>
    <row r="59" spans="1:8">
      <c r="A59" s="102" t="s">
        <v>177</v>
      </c>
      <c r="B59" s="72">
        <v>0.05</v>
      </c>
      <c r="C59" s="72">
        <v>0.1</v>
      </c>
      <c r="D59" s="111"/>
      <c r="E59" s="72" t="b">
        <v>1</v>
      </c>
      <c r="G59" s="72">
        <f t="shared" ref="G59:G66" si="2">IF($E59,B59,0)</f>
        <v>0.05</v>
      </c>
      <c r="H59" s="72">
        <f t="shared" ref="H59:H66" si="3">IF($E59,C59,0)</f>
        <v>0.1</v>
      </c>
    </row>
    <row r="60" spans="1:8">
      <c r="A60" s="102" t="s">
        <v>178</v>
      </c>
      <c r="B60" s="72">
        <v>0.2</v>
      </c>
      <c r="C60" s="72">
        <v>0.5</v>
      </c>
      <c r="D60" s="111"/>
      <c r="E60" s="72" t="b">
        <v>0</v>
      </c>
      <c r="G60" s="72">
        <f t="shared" si="2"/>
        <v>0</v>
      </c>
      <c r="H60" s="72">
        <f t="shared" si="3"/>
        <v>0</v>
      </c>
    </row>
    <row r="61" spans="1:8">
      <c r="A61" s="102" t="s">
        <v>179</v>
      </c>
      <c r="B61" s="72">
        <v>0</v>
      </c>
      <c r="C61" s="72">
        <v>0.1</v>
      </c>
      <c r="D61" s="111"/>
      <c r="E61" s="72" t="b">
        <v>0</v>
      </c>
      <c r="G61" s="72">
        <f t="shared" si="2"/>
        <v>0</v>
      </c>
      <c r="H61" s="72">
        <f t="shared" si="3"/>
        <v>0</v>
      </c>
    </row>
    <row r="62" spans="1:8">
      <c r="A62" s="102" t="s">
        <v>180</v>
      </c>
      <c r="B62" s="72">
        <v>0.2</v>
      </c>
      <c r="C62" s="72">
        <v>1</v>
      </c>
      <c r="D62" s="111"/>
      <c r="E62" s="72" t="b">
        <v>0</v>
      </c>
      <c r="G62" s="72">
        <f t="shared" si="2"/>
        <v>0</v>
      </c>
      <c r="H62" s="72">
        <f t="shared" si="3"/>
        <v>0</v>
      </c>
    </row>
    <row r="63" spans="1:8">
      <c r="A63" s="102" t="s">
        <v>181</v>
      </c>
      <c r="B63" s="72">
        <v>0.4</v>
      </c>
      <c r="C63" s="72">
        <v>0.4</v>
      </c>
      <c r="D63" s="111"/>
      <c r="E63" s="72" t="b">
        <v>1</v>
      </c>
      <c r="G63" s="72">
        <f t="shared" si="2"/>
        <v>0.4</v>
      </c>
      <c r="H63" s="72">
        <f t="shared" si="3"/>
        <v>0.4</v>
      </c>
    </row>
    <row r="64" spans="1:8">
      <c r="A64" s="102" t="s">
        <v>182</v>
      </c>
      <c r="B64" s="72">
        <v>0.4</v>
      </c>
      <c r="C64" s="72">
        <v>0.4</v>
      </c>
      <c r="D64" s="111"/>
      <c r="E64" s="72" t="b">
        <v>0</v>
      </c>
      <c r="G64" s="72">
        <f t="shared" si="2"/>
        <v>0</v>
      </c>
      <c r="H64" s="72">
        <f t="shared" si="3"/>
        <v>0</v>
      </c>
    </row>
    <row r="65" spans="1:8">
      <c r="A65" s="102" t="s">
        <v>183</v>
      </c>
      <c r="B65" s="72">
        <v>2</v>
      </c>
      <c r="C65" s="72">
        <v>4</v>
      </c>
      <c r="D65" s="111"/>
      <c r="E65" s="72" t="b">
        <v>0</v>
      </c>
      <c r="G65" s="72">
        <f t="shared" si="2"/>
        <v>0</v>
      </c>
      <c r="H65" s="72">
        <f t="shared" si="3"/>
        <v>0</v>
      </c>
    </row>
    <row r="66" spans="1:8" ht="15.75" thickBot="1">
      <c r="A66" s="98" t="s">
        <v>184</v>
      </c>
      <c r="B66" s="112">
        <v>3</v>
      </c>
      <c r="C66" s="112">
        <v>6</v>
      </c>
      <c r="D66" s="113"/>
      <c r="E66" s="72" t="b">
        <v>0</v>
      </c>
      <c r="G66" s="72">
        <f t="shared" si="2"/>
        <v>0</v>
      </c>
      <c r="H66" s="72">
        <f t="shared" si="3"/>
        <v>0</v>
      </c>
    </row>
  </sheetData>
  <mergeCells count="1">
    <mergeCell ref="A38:A42"/>
  </mergeCells>
  <pageMargins left="0.7" right="0.7" top="0.75" bottom="0.75" header="0.3" footer="0.3"/>
  <pageSetup paperSize="9" orientation="portrait" r:id="rId1"/>
  <ignoredErrors>
    <ignoredError sqref="L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List Box 7">
              <controlPr defaultSize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47625</xdr:colOff>
                    <xdr:row>7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List Box 8">
              <controlPr defaultSize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5</xdr:col>
                    <xdr:colOff>457200</xdr:colOff>
                    <xdr:row>18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List Box 9">
              <controlPr defaultSize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6</xdr:col>
                    <xdr:colOff>142875</xdr:colOff>
                    <xdr:row>19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List Box 12">
              <controlPr defaultSize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6</xdr:col>
                    <xdr:colOff>142875</xdr:colOff>
                    <xdr:row>20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Check Box 14">
              <controlPr defaultSize="0" autoFill="0" autoLine="0" autoPict="0" altText="Molder profit">
                <anchor moveWithCells="1">
                  <from>
                    <xdr:col>3</xdr:col>
                    <xdr:colOff>9525</xdr:colOff>
                    <xdr:row>21</xdr:row>
                    <xdr:rowOff>19050</xdr:rowOff>
                  </from>
                  <to>
                    <xdr:col>3</xdr:col>
                    <xdr:colOff>190500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Check Box 15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3</xdr:col>
                    <xdr:colOff>200025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0" name="Check Box 16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0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Check Box 17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219075</xdr:rowOff>
                  </from>
                  <to>
                    <xdr:col>3</xdr:col>
                    <xdr:colOff>219075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Check Box 18">
              <controlPr defaultSize="0" autoFill="0" autoLine="0" autoPict="0">
                <anchor moveWithCells="1">
                  <from>
                    <xdr:col>3</xdr:col>
                    <xdr:colOff>9525</xdr:colOff>
                    <xdr:row>25</xdr:row>
                    <xdr:rowOff>0</xdr:rowOff>
                  </from>
                  <to>
                    <xdr:col>3</xdr:col>
                    <xdr:colOff>219075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Check Box 19">
              <controlPr defaultSize="0" autoFill="0" autoLine="0" autoPict="0">
                <anchor moveWithCells="1">
                  <from>
                    <xdr:col>3</xdr:col>
                    <xdr:colOff>9525</xdr:colOff>
                    <xdr:row>26</xdr:row>
                    <xdr:rowOff>0</xdr:rowOff>
                  </from>
                  <to>
                    <xdr:col>3</xdr:col>
                    <xdr:colOff>228600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Check Box 20">
              <controlPr defaultSize="0" autoFill="0" autoLine="0" autoPict="0">
                <anchor moveWithCells="1">
                  <from>
                    <xdr:col>3</xdr:col>
                    <xdr:colOff>9525</xdr:colOff>
                    <xdr:row>27</xdr:row>
                    <xdr:rowOff>0</xdr:rowOff>
                  </from>
                  <to>
                    <xdr:col>3</xdr:col>
                    <xdr:colOff>228600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Check Box 21">
              <controlPr defaultSize="0" autoFill="0" autoLine="0" autoPict="0">
                <anchor moveWithCells="1">
                  <from>
                    <xdr:col>3</xdr:col>
                    <xdr:colOff>9525</xdr:colOff>
                    <xdr:row>28</xdr:row>
                    <xdr:rowOff>0</xdr:rowOff>
                  </from>
                  <to>
                    <xdr:col>3</xdr:col>
                    <xdr:colOff>219075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Check Box 22">
              <controlPr defaultSize="0" autoFill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247650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List Box 23">
              <controlPr defaultSize="0" autoLine="0" autoPict="0">
                <anchor moveWithCells="1">
                  <from>
                    <xdr:col>2</xdr:col>
                    <xdr:colOff>0</xdr:colOff>
                    <xdr:row>33</xdr:row>
                    <xdr:rowOff>9525</xdr:rowOff>
                  </from>
                  <to>
                    <xdr:col>3</xdr:col>
                    <xdr:colOff>762000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8" name="List Box 24">
              <controlPr defaultSize="0" autoLine="0" autoPict="0">
                <anchor moveWithCells="1">
                  <from>
                    <xdr:col>2</xdr:col>
                    <xdr:colOff>0</xdr:colOff>
                    <xdr:row>34</xdr:row>
                    <xdr:rowOff>9525</xdr:rowOff>
                  </from>
                  <to>
                    <xdr:col>3</xdr:col>
                    <xdr:colOff>762000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9" name="List Box 26">
              <controlPr defaultSize="0" autoLine="0" autoPict="0">
                <anchor moveWithCells="1">
                  <from>
                    <xdr:col>2</xdr:col>
                    <xdr:colOff>9525</xdr:colOff>
                    <xdr:row>52</xdr:row>
                    <xdr:rowOff>9525</xdr:rowOff>
                  </from>
                  <to>
                    <xdr:col>5</xdr:col>
                    <xdr:colOff>2286000</xdr:colOff>
                    <xdr:row>52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0" name="List Box 27">
              <controlPr defaultSize="0" autoLine="0" autoPict="0">
                <anchor moveWithCells="1">
                  <from>
                    <xdr:col>2</xdr:col>
                    <xdr:colOff>9525</xdr:colOff>
                    <xdr:row>53</xdr:row>
                    <xdr:rowOff>9525</xdr:rowOff>
                  </from>
                  <to>
                    <xdr:col>5</xdr:col>
                    <xdr:colOff>2286000</xdr:colOff>
                    <xdr:row>53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1" name="List Box 28">
              <controlPr defaultSize="0" autoLine="0" autoPict="0">
                <anchor moveWithCells="1">
                  <from>
                    <xdr:col>2</xdr:col>
                    <xdr:colOff>9525</xdr:colOff>
                    <xdr:row>54</xdr:row>
                    <xdr:rowOff>9525</xdr:rowOff>
                  </from>
                  <to>
                    <xdr:col>5</xdr:col>
                    <xdr:colOff>2276475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2" name="List Box 29">
              <controlPr defaultSize="0" autoLine="0" autoPict="0">
                <anchor moveWithCells="1">
                  <from>
                    <xdr:col>2</xdr:col>
                    <xdr:colOff>9525</xdr:colOff>
                    <xdr:row>55</xdr:row>
                    <xdr:rowOff>9525</xdr:rowOff>
                  </from>
                  <to>
                    <xdr:col>5</xdr:col>
                    <xdr:colOff>2276475</xdr:colOff>
                    <xdr:row>55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3" name="List Box 30">
              <controlPr defaultSize="0" autoLine="0" autoPict="0">
                <anchor moveWithCells="1">
                  <from>
                    <xdr:col>2</xdr:col>
                    <xdr:colOff>9525</xdr:colOff>
                    <xdr:row>56</xdr:row>
                    <xdr:rowOff>9525</xdr:rowOff>
                  </from>
                  <to>
                    <xdr:col>5</xdr:col>
                    <xdr:colOff>2276475</xdr:colOff>
                    <xdr:row>56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4" name="Check Box 31">
              <controlPr defaultSize="0" autoFill="0" autoLine="0" autoPict="0">
                <anchor moveWithCells="1">
                  <from>
                    <xdr:col>2</xdr:col>
                    <xdr:colOff>323850</xdr:colOff>
                    <xdr:row>57</xdr:row>
                    <xdr:rowOff>0</xdr:rowOff>
                  </from>
                  <to>
                    <xdr:col>3</xdr:col>
                    <xdr:colOff>295275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5" name="Check Box 32">
              <controlPr defaultSize="0" autoFill="0" autoLine="0" autoPict="0">
                <anchor moveWithCells="1">
                  <from>
                    <xdr:col>2</xdr:col>
                    <xdr:colOff>323850</xdr:colOff>
                    <xdr:row>58</xdr:row>
                    <xdr:rowOff>0</xdr:rowOff>
                  </from>
                  <to>
                    <xdr:col>3</xdr:col>
                    <xdr:colOff>295275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6" name="Check Box 33">
              <controlPr defaultSize="0" autoFill="0" autoLine="0" autoPict="0">
                <anchor mov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3</xdr:col>
                    <xdr:colOff>314325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7" name="Check Box 34">
              <controlPr defaultSize="0" autoFill="0" autoLine="0" autoPict="0">
                <anchor mov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219075</xdr:colOff>
                    <xdr:row>61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8" name="Check Box 35">
              <controlPr defaultSize="0" autoFill="0" autoLine="0" autoPict="0">
                <anchor mov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3</xdr:col>
                    <xdr:colOff>314325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9" name="Check Box 36">
              <controlPr defaultSize="0" autoFill="0" autoLine="0" autoPict="0">
                <anchor mov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314325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0" name="Check Box 37">
              <controlPr defaultSize="0" autoFill="0" autoLine="0" autoPict="0">
                <anchor mov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3</xdr:col>
                    <xdr:colOff>314325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1" name="Check Box 39">
              <controlPr defaultSize="0" autoFill="0" autoLine="0" autoPict="0">
                <anchor moveWithCells="1">
                  <from>
                    <xdr:col>3</xdr:col>
                    <xdr:colOff>0</xdr:colOff>
                    <xdr:row>64</xdr:row>
                    <xdr:rowOff>9525</xdr:rowOff>
                  </from>
                  <to>
                    <xdr:col>3</xdr:col>
                    <xdr:colOff>314325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2" name="Check Box 40">
              <controlPr defaultSize="0" autoFill="0" autoLine="0" autoPict="0">
                <anchor mov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3</xdr:col>
                    <xdr:colOff>314325</xdr:colOff>
                    <xdr:row>66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3" name="List Box 41">
              <controlPr defaultSize="0" autoLine="0" autoPict="0">
                <anchor moveWithCells="1">
                  <from>
                    <xdr:col>1</xdr:col>
                    <xdr:colOff>714375</xdr:colOff>
                    <xdr:row>35</xdr:row>
                    <xdr:rowOff>0</xdr:rowOff>
                  </from>
                  <to>
                    <xdr:col>5</xdr:col>
                    <xdr:colOff>485775</xdr:colOff>
                    <xdr:row>35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4" name="List Box 42">
              <controlPr defaultSize="0" autoLine="0" autoPict="0">
                <anchor moveWithCells="1">
                  <from>
                    <xdr:col>3</xdr:col>
                    <xdr:colOff>0</xdr:colOff>
                    <xdr:row>7</xdr:row>
                    <xdr:rowOff>409575</xdr:rowOff>
                  </from>
                  <to>
                    <xdr:col>5</xdr:col>
                    <xdr:colOff>790575</xdr:colOff>
                    <xdr:row>8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5" name="List Box 43">
              <controlPr defaultSize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752475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B59B9-CBC1-406F-909E-E258FFF1B397}">
  <sheetPr codeName="Foglio2"/>
  <dimension ref="A1:M66"/>
  <sheetViews>
    <sheetView zoomScaleNormal="100" workbookViewId="0">
      <pane ySplit="1" topLeftCell="A2" activePane="bottomLeft" state="frozen"/>
      <selection pane="bottomLeft" activeCell="B1" sqref="B1"/>
    </sheetView>
  </sheetViews>
  <sheetFormatPr defaultRowHeight="15"/>
  <cols>
    <col min="1" max="1" width="34" bestFit="1" customWidth="1"/>
    <col min="2" max="2" width="12.85546875" customWidth="1"/>
    <col min="3" max="3" width="5" bestFit="1" customWidth="1"/>
    <col min="4" max="4" width="15.42578125" customWidth="1"/>
    <col min="5" max="5" width="12.140625" customWidth="1"/>
    <col min="6" max="6" width="38.28515625" bestFit="1" customWidth="1"/>
    <col min="7" max="7" width="8.42578125" customWidth="1"/>
    <col min="8" max="8" width="4.140625" customWidth="1"/>
    <col min="9" max="9" width="38.28515625" bestFit="1" customWidth="1"/>
    <col min="10" max="10" width="12.5703125" bestFit="1" customWidth="1"/>
    <col min="11" max="11" width="11" bestFit="1" customWidth="1"/>
    <col min="12" max="12" width="10.5703125" customWidth="1"/>
  </cols>
  <sheetData>
    <row r="1" spans="1:13" ht="33" customHeight="1" thickBot="1">
      <c r="A1" s="104" t="s">
        <v>5</v>
      </c>
      <c r="B1" s="105">
        <f>$L$2</f>
        <v>0.55877599855827687</v>
      </c>
      <c r="C1" s="104" t="s">
        <v>6</v>
      </c>
      <c r="D1" s="64"/>
      <c r="E1" s="105">
        <f>$L$5</f>
        <v>6.138895392000001E-2</v>
      </c>
      <c r="F1" s="104" t="s">
        <v>7</v>
      </c>
      <c r="G1" s="105">
        <f>$L$10</f>
        <v>0.47960686765952382</v>
      </c>
      <c r="H1" s="104" t="s">
        <v>8</v>
      </c>
      <c r="I1" s="64"/>
      <c r="J1" s="105">
        <f>$L$16</f>
        <v>6.604657007587526E-3</v>
      </c>
      <c r="K1" s="104" t="s">
        <v>9</v>
      </c>
      <c r="L1" s="106">
        <f>$L$19</f>
        <v>3302.328503793763</v>
      </c>
      <c r="M1" s="64"/>
    </row>
    <row r="2" spans="1:13" ht="33" customHeight="1" thickBot="1">
      <c r="A2" s="3" t="s">
        <v>10</v>
      </c>
      <c r="I2" s="55" t="s">
        <v>5</v>
      </c>
      <c r="J2" s="7" t="s">
        <v>11</v>
      </c>
      <c r="K2" s="7" t="s">
        <v>12</v>
      </c>
      <c r="L2" s="56">
        <f>($L$5+$L$10+$L$16)/$L$3</f>
        <v>0.55877599855827687</v>
      </c>
    </row>
    <row r="3" spans="1:13" ht="24" customHeight="1">
      <c r="A3" s="97" t="s">
        <v>13</v>
      </c>
      <c r="B3" s="115" t="s">
        <v>14</v>
      </c>
      <c r="C3" s="100"/>
      <c r="D3" s="101"/>
      <c r="I3" t="s">
        <v>15</v>
      </c>
      <c r="L3" s="2">
        <f>CHOOSE('Machine coefficients'!$C$23,'Machine coefficients'!C25,'Machine coefficients'!C26,'Machine coefficients'!C27,'Machine coefficients'!C28,'Machine coefficients'!C29,'Machine coefficients'!C30)</f>
        <v>0.98</v>
      </c>
    </row>
    <row r="4" spans="1:13" ht="18">
      <c r="A4" s="102" t="s">
        <v>16</v>
      </c>
      <c r="B4" t="s">
        <v>17</v>
      </c>
      <c r="D4" s="96">
        <v>1000000</v>
      </c>
    </row>
    <row r="5" spans="1:13" ht="33" customHeight="1" thickBot="1">
      <c r="A5" s="98" t="s">
        <v>18</v>
      </c>
      <c r="B5" s="64"/>
      <c r="C5" s="64"/>
      <c r="D5" s="95"/>
      <c r="I5" s="55" t="s">
        <v>6</v>
      </c>
      <c r="J5" s="7" t="s">
        <v>19</v>
      </c>
      <c r="K5" s="7" t="s">
        <v>12</v>
      </c>
      <c r="L5" s="56">
        <f>L6*L7*L8*C19/1000000</f>
        <v>6.138895392000001E-2</v>
      </c>
      <c r="M5" s="103">
        <f>L5/$L$2</f>
        <v>0.10986326198403729</v>
      </c>
    </row>
    <row r="6" spans="1:13" ht="33" customHeight="1">
      <c r="I6" s="7" t="s">
        <v>20</v>
      </c>
      <c r="J6" s="7" t="s">
        <v>21</v>
      </c>
      <c r="K6" s="7" t="s">
        <v>22</v>
      </c>
      <c r="L6" s="7">
        <f>$D$12</f>
        <v>19.445</v>
      </c>
    </row>
    <row r="7" spans="1:13" ht="18.75" thickBot="1">
      <c r="A7" s="68" t="s">
        <v>23</v>
      </c>
      <c r="I7" s="7" t="s">
        <v>24</v>
      </c>
      <c r="J7" s="33" t="s">
        <v>25</v>
      </c>
      <c r="K7" s="7" t="s">
        <v>26</v>
      </c>
      <c r="L7" s="7">
        <f>CHOOSE(Materials!$A$30,Materials!$F$2,Materials!$F$3,Materials!$F$4,Materials!$F$5,Materials!$F$6,Materials!$F$7,Materials!$F$8,Materials!$F$9,Materials!$F$10,Materials!$F$11,Materials!$F$12,Materials!$F$13,Materials!$F$14,Materials!$F$15,Materials!$F$16,Materials!$F$17)</f>
        <v>1044</v>
      </c>
    </row>
    <row r="8" spans="1:13" ht="33" customHeight="1">
      <c r="A8" s="57" t="s">
        <v>27</v>
      </c>
      <c r="B8" s="58"/>
      <c r="C8" s="58"/>
      <c r="D8" s="59"/>
      <c r="I8" s="7" t="s">
        <v>28</v>
      </c>
      <c r="J8" s="33" t="s">
        <v>29</v>
      </c>
      <c r="K8" s="7" t="s">
        <v>30</v>
      </c>
      <c r="L8" s="7">
        <f>CHOOSE(Materials!$A$30,Materials!$E$2,Materials!$E$3,Materials!$E$4,Materials!$E$5,Materials!$E$6,Materials!$E$7,Materials!$E$8,Materials!$E$9,Materials!$E$10,Materials!$E$11,Materials!$E$12,Materials!$E$13,Materials!$E$14,Materials!$E$15,Materials!$E$16,Materials!$E$17)</f>
        <v>2.8</v>
      </c>
    </row>
    <row r="9" spans="1:13" ht="33" customHeight="1" thickBot="1">
      <c r="A9" s="62" t="s">
        <v>31</v>
      </c>
      <c r="B9" s="63"/>
      <c r="C9" s="63"/>
      <c r="D9" s="95"/>
      <c r="I9" s="7"/>
      <c r="J9" s="7"/>
    </row>
    <row r="10" spans="1:13" ht="33" customHeight="1" thickBot="1">
      <c r="A10" s="68" t="s">
        <v>32</v>
      </c>
      <c r="I10" s="3" t="s">
        <v>7</v>
      </c>
      <c r="J10" t="s">
        <v>33</v>
      </c>
      <c r="K10" t="s">
        <v>12</v>
      </c>
      <c r="L10" s="34">
        <f>$L$11/$L$12*$L$13/3600</f>
        <v>0.47960686765952382</v>
      </c>
      <c r="M10" s="103">
        <f>L10/$L$2</f>
        <v>0.85831687276650948</v>
      </c>
    </row>
    <row r="11" spans="1:13" ht="18">
      <c r="A11" s="57" t="s">
        <v>34</v>
      </c>
      <c r="B11" s="58" t="s">
        <v>35</v>
      </c>
      <c r="C11" s="58" t="s">
        <v>36</v>
      </c>
      <c r="D11" s="69">
        <v>2.6</v>
      </c>
      <c r="I11" t="s">
        <v>37</v>
      </c>
      <c r="J11" t="s">
        <v>38</v>
      </c>
      <c r="K11" t="s">
        <v>39</v>
      </c>
      <c r="L11">
        <f>4*$D$11^2*$C$20</f>
        <v>33.800000000000004</v>
      </c>
    </row>
    <row r="12" spans="1:13" ht="18">
      <c r="A12" s="60" t="s">
        <v>20</v>
      </c>
      <c r="B12" s="7" t="s">
        <v>21</v>
      </c>
      <c r="C12" s="7" t="s">
        <v>22</v>
      </c>
      <c r="D12" s="70">
        <v>19.445</v>
      </c>
      <c r="I12" t="s">
        <v>40</v>
      </c>
      <c r="J12" t="s">
        <v>41</v>
      </c>
      <c r="L12">
        <f>$D$32*$D$33</f>
        <v>1</v>
      </c>
    </row>
    <row r="13" spans="1:13" ht="18">
      <c r="A13" s="60" t="s">
        <v>42</v>
      </c>
      <c r="B13" s="7" t="s">
        <v>43</v>
      </c>
      <c r="C13" s="7" t="s">
        <v>44</v>
      </c>
      <c r="D13" s="70">
        <v>8.33</v>
      </c>
      <c r="F13" s="7"/>
      <c r="G13" s="33"/>
      <c r="I13" t="s">
        <v>45</v>
      </c>
      <c r="J13" t="s">
        <v>46</v>
      </c>
      <c r="K13" t="s">
        <v>47</v>
      </c>
      <c r="L13" s="36">
        <f>(43.3+0.095*$L$14)*$C$21</f>
        <v>51.08238827142857</v>
      </c>
    </row>
    <row r="14" spans="1:13" ht="18">
      <c r="A14" s="60" t="s">
        <v>48</v>
      </c>
      <c r="B14" s="7" t="s">
        <v>49</v>
      </c>
      <c r="C14" s="7" t="s">
        <v>44</v>
      </c>
      <c r="D14" s="70">
        <v>8.23</v>
      </c>
      <c r="F14" s="7"/>
      <c r="G14" s="33"/>
      <c r="I14" t="s">
        <v>50</v>
      </c>
      <c r="J14" t="s">
        <v>51</v>
      </c>
      <c r="K14" t="s">
        <v>52</v>
      </c>
      <c r="L14" s="36">
        <f>80*10^6*$L$12*$D$17/10^4/9800</f>
        <v>56.314669387755117</v>
      </c>
    </row>
    <row r="15" spans="1:13" ht="18">
      <c r="A15" s="60" t="s">
        <v>53</v>
      </c>
      <c r="B15" s="7" t="s">
        <v>54</v>
      </c>
      <c r="C15" s="7" t="s">
        <v>44</v>
      </c>
      <c r="D15" s="70">
        <v>5.45</v>
      </c>
      <c r="F15" s="7"/>
      <c r="G15" s="33"/>
    </row>
    <row r="16" spans="1:13" ht="18">
      <c r="A16" s="60" t="s">
        <v>55</v>
      </c>
      <c r="B16" s="7" t="s">
        <v>56</v>
      </c>
      <c r="C16" s="7" t="s">
        <v>57</v>
      </c>
      <c r="D16" s="70">
        <v>18.581800000000001</v>
      </c>
      <c r="F16" s="7"/>
      <c r="G16" s="33"/>
      <c r="I16" s="55" t="s">
        <v>8</v>
      </c>
      <c r="J16" s="7" t="s">
        <v>58</v>
      </c>
      <c r="K16" s="7" t="s">
        <v>12</v>
      </c>
      <c r="L16" s="56">
        <f>$L$19*$M$17/$D$4</f>
        <v>6.604657007587526E-3</v>
      </c>
      <c r="M16" s="103">
        <f>L16/$L$2</f>
        <v>1.1819865249453268E-2</v>
      </c>
    </row>
    <row r="17" spans="1:13" ht="18" customHeight="1" thickBot="1">
      <c r="A17" s="62" t="s">
        <v>59</v>
      </c>
      <c r="B17" s="63" t="s">
        <v>60</v>
      </c>
      <c r="C17" s="64" t="s">
        <v>57</v>
      </c>
      <c r="D17" s="71">
        <v>68.985470000000007</v>
      </c>
      <c r="I17" t="s">
        <v>61</v>
      </c>
      <c r="J17" t="s">
        <v>62</v>
      </c>
      <c r="L17">
        <f>CHOOSE('Mold coefficients'!D79,'Mold coefficients'!C80,'Mold coefficients'!C81,'Mold coefficients'!C82,'Mold coefficients'!C83,'Mold coefficients'!C84,'Mold coefficients'!C85,'Mold coefficients'!C86,'Mold coefficients'!C87,'Mold coefficients'!C88)</f>
        <v>2</v>
      </c>
      <c r="M17">
        <f>IF($L$17*$D$4/1000000&gt;1,$L$17*$D$4/1000000,1)</f>
        <v>2</v>
      </c>
    </row>
    <row r="18" spans="1:13" ht="33" customHeight="1" thickBot="1">
      <c r="A18" s="68" t="s">
        <v>63</v>
      </c>
      <c r="B18" s="7"/>
    </row>
    <row r="19" spans="1:13" ht="46.5" customHeight="1">
      <c r="A19" s="57" t="s">
        <v>64</v>
      </c>
      <c r="B19" s="65" t="s">
        <v>65</v>
      </c>
      <c r="C19" s="66">
        <f>CHOOSE('Machine coefficients'!B1,'Machine coefficients'!B3,'Machine coefficients'!B4,'Machine coefficients'!B5,'Machine coefficients'!B6)</f>
        <v>1.08</v>
      </c>
      <c r="D19" s="59"/>
      <c r="I19" s="55" t="s">
        <v>9</v>
      </c>
      <c r="J19" s="7" t="s">
        <v>66</v>
      </c>
      <c r="K19" s="7" t="s">
        <v>12</v>
      </c>
      <c r="L19" s="99">
        <f>$L$20+$L$27+$L$45</f>
        <v>3302.328503793763</v>
      </c>
    </row>
    <row r="20" spans="1:13" ht="63.75" customHeight="1">
      <c r="A20" s="60" t="s">
        <v>67</v>
      </c>
      <c r="B20" s="7" t="s">
        <v>68</v>
      </c>
      <c r="C20" s="67">
        <f>CHOOSE('Machine coefficients'!B8,'Machine coefficients'!B10,'Machine coefficients'!B11,'Machine coefficients'!B12,'Machine coefficients'!B13,'Machine coefficients'!B14,'Machine coefficients'!B15)</f>
        <v>1.25</v>
      </c>
      <c r="D20" s="61"/>
      <c r="I20" s="7" t="s">
        <v>69</v>
      </c>
      <c r="J20" s="7" t="s">
        <v>70</v>
      </c>
      <c r="K20" s="7" t="s">
        <v>12</v>
      </c>
      <c r="L20" s="75">
        <f>910+$L$23*$L$22</f>
        <v>1219.2590086150014</v>
      </c>
    </row>
    <row r="21" spans="1:13" ht="33" customHeight="1">
      <c r="A21" s="60" t="s">
        <v>71</v>
      </c>
      <c r="B21" s="7" t="s">
        <v>72</v>
      </c>
      <c r="C21" s="67">
        <f>CHOOSE('Machine coefficients'!B17,'Machine coefficients'!B19,'Machine coefficients'!B20,'Machine coefficients'!B21)+IF(E22,0.1)+IF(E23,0.05)+IF(E24,0.05)+IF(E25,0.1)+IF(E26,0.1)+IF(E27,0.3)+IF(E28,0.3)+IF(E29,0.6)+IF(E30,0.9)</f>
        <v>1.05</v>
      </c>
      <c r="D21" s="61"/>
      <c r="I21" s="7" t="s">
        <v>73</v>
      </c>
      <c r="J21" s="7"/>
      <c r="K21" s="7" t="s">
        <v>26</v>
      </c>
      <c r="L21" s="7">
        <f>CHOOSE('Mold coefficients'!D1,'Mold coefficients'!D3,'Mold coefficients'!D4,'Mold coefficients'!D5,'Mold coefficients'!D6,'Mold coefficients'!D7)</f>
        <v>7800</v>
      </c>
    </row>
    <row r="22" spans="1:13" ht="18" customHeight="1">
      <c r="A22" s="60" t="s">
        <v>74</v>
      </c>
      <c r="D22" s="73"/>
      <c r="E22" s="72" t="b">
        <v>0</v>
      </c>
      <c r="I22" s="7" t="s">
        <v>75</v>
      </c>
      <c r="J22" s="33" t="s">
        <v>76</v>
      </c>
      <c r="K22" s="7" t="s">
        <v>30</v>
      </c>
      <c r="L22" s="7">
        <f>CHOOSE('Mold coefficients'!D1,'Mold coefficients'!C3,'Mold coefficients'!C4,'Mold coefficients'!C5,'Mold coefficients'!C6,'Mold coefficients'!C7)</f>
        <v>3.99</v>
      </c>
    </row>
    <row r="23" spans="1:13" ht="18" customHeight="1">
      <c r="A23" s="60" t="s">
        <v>77</v>
      </c>
      <c r="D23" s="73"/>
      <c r="E23" s="72" t="b">
        <v>1</v>
      </c>
      <c r="I23" t="s">
        <v>78</v>
      </c>
      <c r="J23" s="33" t="s">
        <v>79</v>
      </c>
      <c r="K23" s="7" t="s">
        <v>80</v>
      </c>
      <c r="L23" s="36">
        <f>$L$21*$L$24/100*L25/100*L26/100</f>
        <v>77.508523462406387</v>
      </c>
    </row>
    <row r="24" spans="1:13" ht="18" customHeight="1">
      <c r="A24" s="60" t="s">
        <v>81</v>
      </c>
      <c r="D24" s="73"/>
      <c r="E24" s="72" t="b">
        <v>0</v>
      </c>
      <c r="I24" s="116" t="s">
        <v>82</v>
      </c>
      <c r="J24" s="117" t="s">
        <v>83</v>
      </c>
      <c r="K24" s="117" t="s">
        <v>44</v>
      </c>
      <c r="L24" s="118">
        <f>$L$32*$D$32*1.33</f>
        <v>18.327400000000001</v>
      </c>
    </row>
    <row r="25" spans="1:13" ht="18" customHeight="1">
      <c r="A25" s="60" t="s">
        <v>84</v>
      </c>
      <c r="D25" s="73"/>
      <c r="E25" s="72" t="b">
        <v>0</v>
      </c>
      <c r="I25" s="119" t="s">
        <v>85</v>
      </c>
      <c r="J25" s="7" t="s">
        <v>86</v>
      </c>
      <c r="K25" s="7" t="s">
        <v>44</v>
      </c>
      <c r="L25" s="120">
        <f>$L$33*$D$33*1.33</f>
        <v>18.194400000000002</v>
      </c>
    </row>
    <row r="26" spans="1:13" ht="18" customHeight="1">
      <c r="A26" s="60" t="s">
        <v>87</v>
      </c>
      <c r="D26" s="73"/>
      <c r="E26" s="72" t="b">
        <v>0</v>
      </c>
      <c r="I26" s="121" t="s">
        <v>88</v>
      </c>
      <c r="J26" s="122" t="s">
        <v>89</v>
      </c>
      <c r="K26" s="122" t="s">
        <v>44</v>
      </c>
      <c r="L26" s="123">
        <f>18.9+MAX(5.7,$L$34)</f>
        <v>29.799999999999997</v>
      </c>
    </row>
    <row r="27" spans="1:13" ht="18" customHeight="1">
      <c r="A27" s="60" t="s">
        <v>90</v>
      </c>
      <c r="D27" s="73"/>
      <c r="E27" s="72" t="b">
        <v>0</v>
      </c>
      <c r="I27" s="7" t="s">
        <v>91</v>
      </c>
      <c r="J27" s="7" t="s">
        <v>92</v>
      </c>
      <c r="K27" s="7" t="s">
        <v>12</v>
      </c>
      <c r="L27" s="99">
        <f>$L$28*$L$12*IF($L$12&lt;16,$L$12^-0.273,0.52)</f>
        <v>335.11280261662694</v>
      </c>
    </row>
    <row r="28" spans="1:13" ht="18" customHeight="1">
      <c r="A28" s="60" t="s">
        <v>93</v>
      </c>
      <c r="D28" s="73"/>
      <c r="E28" s="72" t="b">
        <v>0</v>
      </c>
      <c r="I28" s="7" t="s">
        <v>94</v>
      </c>
      <c r="J28" s="7" t="s">
        <v>95</v>
      </c>
      <c r="K28" s="7" t="s">
        <v>12</v>
      </c>
      <c r="L28" s="99">
        <f>$L$29+$L$35+$L$43</f>
        <v>335.11280261662694</v>
      </c>
    </row>
    <row r="29" spans="1:13" ht="18" customHeight="1">
      <c r="A29" s="60" t="s">
        <v>96</v>
      </c>
      <c r="D29" s="73"/>
      <c r="E29" s="72" t="b">
        <v>0</v>
      </c>
      <c r="I29" s="7" t="s">
        <v>97</v>
      </c>
      <c r="J29" s="7" t="s">
        <v>98</v>
      </c>
      <c r="K29" s="7" t="s">
        <v>12</v>
      </c>
      <c r="L29" s="36">
        <f>$L$30*$L$31</f>
        <v>186.98346576</v>
      </c>
    </row>
    <row r="30" spans="1:13" ht="18.75" thickBot="1">
      <c r="A30" s="62" t="s">
        <v>99</v>
      </c>
      <c r="B30" s="64"/>
      <c r="C30" s="64"/>
      <c r="D30" s="74"/>
      <c r="E30" s="72" t="b">
        <v>0</v>
      </c>
      <c r="I30" s="7" t="s">
        <v>100</v>
      </c>
      <c r="J30" s="33" t="s">
        <v>101</v>
      </c>
      <c r="K30" s="7" t="s">
        <v>102</v>
      </c>
      <c r="L30">
        <f>CHOOSE('Mold coefficients'!D9,'Mold coefficients'!B11,'Mold coefficients'!B12,'Mold coefficients'!B13,'Mold coefficients'!B14,'Mold coefficients'!B15,'Mold coefficients'!B16,'Mold coefficients'!B17,'Mold coefficients'!B18,'Mold coefficients'!B19,'Mold coefficients'!B20,'Mold coefficients'!B21)</f>
        <v>9.0999999999999998E-2</v>
      </c>
    </row>
    <row r="31" spans="1:13" ht="33" customHeight="1" thickBot="1">
      <c r="A31" s="114" t="s">
        <v>103</v>
      </c>
      <c r="I31" t="s">
        <v>104</v>
      </c>
      <c r="J31" s="33" t="s">
        <v>105</v>
      </c>
      <c r="K31" s="7" t="s">
        <v>22</v>
      </c>
      <c r="L31" s="36">
        <f>$L$32*$L$33*$L$34</f>
        <v>2054.7633599999999</v>
      </c>
    </row>
    <row r="32" spans="1:13" ht="18">
      <c r="A32" s="97" t="s">
        <v>106</v>
      </c>
      <c r="B32" s="107" t="s">
        <v>107</v>
      </c>
      <c r="C32" s="107"/>
      <c r="D32" s="108">
        <v>1</v>
      </c>
      <c r="I32" s="116" t="s">
        <v>108</v>
      </c>
      <c r="J32" s="117" t="s">
        <v>109</v>
      </c>
      <c r="K32" s="117" t="s">
        <v>44</v>
      </c>
      <c r="L32" s="118">
        <f>$D$13+MAX(0.1*$D$13,$D$15)</f>
        <v>13.780000000000001</v>
      </c>
    </row>
    <row r="33" spans="1:12" ht="18" customHeight="1">
      <c r="A33" s="102" t="s">
        <v>110</v>
      </c>
      <c r="B33" t="s">
        <v>111</v>
      </c>
      <c r="D33" s="73">
        <v>1</v>
      </c>
      <c r="I33" s="119" t="s">
        <v>112</v>
      </c>
      <c r="J33" s="7" t="s">
        <v>113</v>
      </c>
      <c r="K33" s="7" t="s">
        <v>44</v>
      </c>
      <c r="L33" s="120">
        <f>$D$14+MAX(0.1*$D$14,$D$15)</f>
        <v>13.68</v>
      </c>
    </row>
    <row r="34" spans="1:12" ht="33" customHeight="1">
      <c r="A34" s="60" t="s">
        <v>114</v>
      </c>
      <c r="D34" s="61"/>
      <c r="I34" s="121" t="s">
        <v>115</v>
      </c>
      <c r="J34" s="122" t="s">
        <v>116</v>
      </c>
      <c r="K34" s="122" t="s">
        <v>44</v>
      </c>
      <c r="L34" s="124">
        <f>MAX(5.7,2*$D$15)</f>
        <v>10.9</v>
      </c>
    </row>
    <row r="35" spans="1:12" ht="33" customHeight="1">
      <c r="A35" s="60" t="s">
        <v>117</v>
      </c>
      <c r="D35" s="61"/>
      <c r="I35" t="s">
        <v>118</v>
      </c>
      <c r="J35" s="7" t="s">
        <v>119</v>
      </c>
      <c r="K35" s="7" t="s">
        <v>12</v>
      </c>
      <c r="L35" s="99">
        <f>$L$36*$D$37</f>
        <v>78.447586856626984</v>
      </c>
    </row>
    <row r="36" spans="1:12" ht="33" customHeight="1">
      <c r="A36" s="60" t="s">
        <v>120</v>
      </c>
      <c r="D36" s="61"/>
      <c r="I36" t="s">
        <v>121</v>
      </c>
      <c r="J36" s="7" t="s">
        <v>122</v>
      </c>
      <c r="K36" s="7" t="s">
        <v>123</v>
      </c>
      <c r="L36" s="36">
        <f>($L$37+$L$39)*$L$41*$L$42/$D$43</f>
        <v>0.78447586856626983</v>
      </c>
    </row>
    <row r="37" spans="1:12" ht="18" customHeight="1">
      <c r="A37" s="102" t="s">
        <v>124</v>
      </c>
      <c r="B37" t="s">
        <v>125</v>
      </c>
      <c r="C37" t="s">
        <v>47</v>
      </c>
      <c r="D37" s="73">
        <v>100</v>
      </c>
      <c r="I37" t="s">
        <v>126</v>
      </c>
      <c r="J37" s="7" t="s">
        <v>127</v>
      </c>
      <c r="K37" s="7" t="s">
        <v>123</v>
      </c>
      <c r="L37" s="2">
        <f>$D$13*$D$14*$D$15/10^6/$L$38</f>
        <v>0.37362965500000006</v>
      </c>
    </row>
    <row r="38" spans="1:12" ht="33" customHeight="1">
      <c r="A38" s="132" t="s">
        <v>128</v>
      </c>
      <c r="B38" t="s">
        <v>129</v>
      </c>
      <c r="C38" s="72">
        <v>0.5</v>
      </c>
      <c r="D38" s="109">
        <v>0.05</v>
      </c>
      <c r="E38" s="72">
        <f>C38*D38</f>
        <v>2.5000000000000001E-2</v>
      </c>
      <c r="I38" t="s">
        <v>130</v>
      </c>
      <c r="J38" s="7" t="s">
        <v>131</v>
      </c>
      <c r="K38" s="7" t="s">
        <v>132</v>
      </c>
      <c r="L38">
        <f>CHOOSE('Mold coefficients'!D9,'Mold coefficients'!C11,'Mold coefficients'!C12,'Mold coefficients'!C13,'Mold coefficients'!C14,'Mold coefficients'!C15,'Mold coefficients'!C16,'Mold coefficients'!C17,'Mold coefficients'!C18,'Mold coefficients'!C19,'Mold coefficients'!C20,'Mold coefficients'!C21)</f>
        <v>1E-3</v>
      </c>
    </row>
    <row r="39" spans="1:12" ht="18">
      <c r="A39" s="132"/>
      <c r="B39" t="s">
        <v>133</v>
      </c>
      <c r="C39" s="72">
        <v>0.5</v>
      </c>
      <c r="D39" s="109">
        <v>0.05</v>
      </c>
      <c r="E39" s="72">
        <f t="shared" ref="E39:E42" si="0">C39*D39</f>
        <v>2.5000000000000001E-2</v>
      </c>
      <c r="I39" t="s">
        <v>134</v>
      </c>
      <c r="J39" t="s">
        <v>135</v>
      </c>
      <c r="K39" s="7" t="s">
        <v>123</v>
      </c>
      <c r="L39" s="2">
        <f>$D$16/10^4/$L$40</f>
        <v>7.7424166666666669E-2</v>
      </c>
    </row>
    <row r="40" spans="1:12" ht="18">
      <c r="A40" s="132"/>
      <c r="B40" t="s">
        <v>136</v>
      </c>
      <c r="C40" s="72">
        <v>1</v>
      </c>
      <c r="D40" s="109">
        <v>0.5</v>
      </c>
      <c r="E40" s="72">
        <f t="shared" si="0"/>
        <v>0.5</v>
      </c>
      <c r="I40" t="s">
        <v>137</v>
      </c>
      <c r="J40" s="7" t="s">
        <v>138</v>
      </c>
      <c r="K40" s="7" t="s">
        <v>139</v>
      </c>
      <c r="L40">
        <f>CHOOSE('Mold coefficients'!D9,'Mold coefficients'!D11,'Mold coefficients'!D12,'Mold coefficients'!D13,'Mold coefficients'!D14,'Mold coefficients'!D15,'Mold coefficients'!D16,'Mold coefficients'!D17,'Mold coefficients'!D18,'Mold coefficients'!D19,'Mold coefficients'!D20,'Mold coefficients'!D21)</f>
        <v>2.4E-2</v>
      </c>
    </row>
    <row r="41" spans="1:12" ht="18">
      <c r="A41" s="132"/>
      <c r="B41" t="s">
        <v>140</v>
      </c>
      <c r="C41" s="72">
        <v>2</v>
      </c>
      <c r="D41" s="109">
        <v>0.2</v>
      </c>
      <c r="E41" s="72">
        <f t="shared" si="0"/>
        <v>0.4</v>
      </c>
      <c r="I41" t="s">
        <v>141</v>
      </c>
      <c r="J41" s="7" t="s">
        <v>142</v>
      </c>
      <c r="L41" s="35">
        <f>$D$16*$D$11/10/$D$12</f>
        <v>0.24845811262535358</v>
      </c>
    </row>
    <row r="42" spans="1:12" ht="18">
      <c r="A42" s="132"/>
      <c r="B42" t="s">
        <v>143</v>
      </c>
      <c r="C42" s="72">
        <v>4</v>
      </c>
      <c r="D42" s="109">
        <v>0.2</v>
      </c>
      <c r="E42" s="72">
        <f t="shared" si="0"/>
        <v>0.8</v>
      </c>
      <c r="I42" s="7" t="s">
        <v>144</v>
      </c>
      <c r="J42" s="7" t="s">
        <v>145</v>
      </c>
      <c r="L42">
        <f>SUM(E38:E42)</f>
        <v>1.75</v>
      </c>
    </row>
    <row r="43" spans="1:12" ht="18">
      <c r="A43" s="102" t="s">
        <v>146</v>
      </c>
      <c r="B43" t="s">
        <v>147</v>
      </c>
      <c r="D43" s="109">
        <v>0.25</v>
      </c>
      <c r="I43" t="s">
        <v>148</v>
      </c>
      <c r="J43" t="s">
        <v>149</v>
      </c>
      <c r="K43" s="7" t="s">
        <v>12</v>
      </c>
      <c r="L43" s="36">
        <f>$D$52*$L$44</f>
        <v>69.681749999999994</v>
      </c>
    </row>
    <row r="44" spans="1:12" ht="18">
      <c r="A44" s="102" t="s">
        <v>150</v>
      </c>
      <c r="B44" t="s">
        <v>151</v>
      </c>
      <c r="D44" s="61" t="s">
        <v>152</v>
      </c>
      <c r="I44" t="s">
        <v>153</v>
      </c>
      <c r="J44" t="s">
        <v>154</v>
      </c>
      <c r="K44" s="7" t="s">
        <v>123</v>
      </c>
      <c r="L44" s="36">
        <f>SUM(E45:E51)</f>
        <v>1.393635</v>
      </c>
    </row>
    <row r="45" spans="1:12" ht="18">
      <c r="A45" s="102" t="s">
        <v>155</v>
      </c>
      <c r="B45" s="110" t="s">
        <v>156</v>
      </c>
      <c r="C45" s="72">
        <v>2.0000000000000001E-4</v>
      </c>
      <c r="D45" s="109">
        <v>0</v>
      </c>
      <c r="E45" s="85">
        <f>$D$16/10000*D45/C45</f>
        <v>0</v>
      </c>
      <c r="I45" t="s">
        <v>157</v>
      </c>
      <c r="J45" s="7" t="s">
        <v>158</v>
      </c>
      <c r="K45" t="s">
        <v>12</v>
      </c>
      <c r="L45" s="99">
        <f>$L$27*$L$46+$L$20*$L$47</f>
        <v>1747.9566925621348</v>
      </c>
    </row>
    <row r="46" spans="1:12" ht="18">
      <c r="A46" s="102" t="s">
        <v>159</v>
      </c>
      <c r="B46" s="110">
        <v>2.5000000000000001E-2</v>
      </c>
      <c r="C46" s="72">
        <v>5.0000000000000001E-4</v>
      </c>
      <c r="D46" s="109">
        <v>0</v>
      </c>
      <c r="E46" s="85">
        <f t="shared" ref="E46:E51" si="1">$D$16/10000*D46/C46</f>
        <v>0</v>
      </c>
      <c r="I46" t="s">
        <v>160</v>
      </c>
      <c r="J46" s="7" t="s">
        <v>161</v>
      </c>
      <c r="L46">
        <f>SUM(G53:G66)</f>
        <v>0.85</v>
      </c>
    </row>
    <row r="47" spans="1:12" ht="18" customHeight="1">
      <c r="A47" s="102" t="s">
        <v>162</v>
      </c>
      <c r="B47" s="110">
        <v>0.1</v>
      </c>
      <c r="C47" s="72">
        <v>1E-3</v>
      </c>
      <c r="D47" s="109">
        <v>0.5</v>
      </c>
      <c r="E47" s="85">
        <f t="shared" si="1"/>
        <v>0.92908999999999997</v>
      </c>
      <c r="I47" t="s">
        <v>163</v>
      </c>
      <c r="J47" s="7" t="s">
        <v>164</v>
      </c>
      <c r="L47">
        <f>SUM(H53:H66)</f>
        <v>1.2000000000000002</v>
      </c>
    </row>
    <row r="48" spans="1:12" ht="18" customHeight="1">
      <c r="A48" s="102" t="s">
        <v>165</v>
      </c>
      <c r="B48" s="110">
        <v>0.8</v>
      </c>
      <c r="C48" s="72">
        <v>2E-3</v>
      </c>
      <c r="D48" s="109">
        <v>0.5</v>
      </c>
      <c r="E48" s="85">
        <f t="shared" si="1"/>
        <v>0.46454499999999999</v>
      </c>
    </row>
    <row r="49" spans="1:8" ht="33" customHeight="1">
      <c r="A49" s="102" t="s">
        <v>166</v>
      </c>
      <c r="B49" s="110">
        <v>6.3</v>
      </c>
      <c r="C49" s="72">
        <v>5.0000000000000001E-3</v>
      </c>
      <c r="D49" s="109">
        <v>0</v>
      </c>
      <c r="E49" s="85">
        <f t="shared" si="1"/>
        <v>0</v>
      </c>
    </row>
    <row r="50" spans="1:8" ht="33" customHeight="1">
      <c r="A50" s="102" t="s">
        <v>167</v>
      </c>
      <c r="B50" s="110">
        <v>25</v>
      </c>
      <c r="C50" s="72">
        <v>0.01</v>
      </c>
      <c r="D50" s="109">
        <v>0</v>
      </c>
      <c r="E50" s="85">
        <f t="shared" si="1"/>
        <v>0</v>
      </c>
    </row>
    <row r="51" spans="1:8" ht="33" customHeight="1">
      <c r="A51" s="102" t="s">
        <v>168</v>
      </c>
      <c r="B51" s="110">
        <v>50</v>
      </c>
      <c r="C51" s="72">
        <v>0.02</v>
      </c>
      <c r="D51" s="109">
        <v>0</v>
      </c>
      <c r="E51" s="85">
        <f t="shared" si="1"/>
        <v>0</v>
      </c>
    </row>
    <row r="52" spans="1:8" ht="33" customHeight="1">
      <c r="A52" s="102" t="s">
        <v>169</v>
      </c>
      <c r="B52" t="s">
        <v>170</v>
      </c>
      <c r="C52" t="s">
        <v>47</v>
      </c>
      <c r="D52" s="111">
        <v>50</v>
      </c>
    </row>
    <row r="53" spans="1:8" ht="36" customHeight="1">
      <c r="A53" s="102" t="s">
        <v>171</v>
      </c>
      <c r="D53" s="61"/>
      <c r="G53" s="72">
        <f>CHOOSE('Mold coefficients'!$D$31,'Mold coefficients'!B33,'Mold coefficients'!B34,'Mold coefficients'!B35,'Mold coefficients'!B36,'Mold coefficients'!B37,'Mold coefficients'!B38)</f>
        <v>0.05</v>
      </c>
      <c r="H53" s="72">
        <f>CHOOSE('Mold coefficients'!$D$31,'Mold coefficients'!C33,'Mold coefficients'!C34,'Mold coefficients'!C35,'Mold coefficients'!C36,'Mold coefficients'!C37,'Mold coefficients'!C38)</f>
        <v>0.1</v>
      </c>
    </row>
    <row r="54" spans="1:8" ht="33.75" customHeight="1">
      <c r="A54" s="102" t="s">
        <v>172</v>
      </c>
      <c r="D54" s="61"/>
      <c r="G54" s="72">
        <f>CHOOSE('Mold coefficients'!$D$40,'Mold coefficients'!B42,'Mold coefficients'!B43,'Mold coefficients'!B44,'Mold coefficients'!B45,'Mold coefficients'!B46)</f>
        <v>0.1</v>
      </c>
      <c r="H54" s="72">
        <f>CHOOSE('Mold coefficients'!$D$40,'Mold coefficients'!C42,'Mold coefficients'!C43,'Mold coefficients'!C44,'Mold coefficients'!C45,'Mold coefficients'!C46)</f>
        <v>0.2</v>
      </c>
    </row>
    <row r="55" spans="1:8" ht="32.25" customHeight="1">
      <c r="A55" s="102" t="s">
        <v>173</v>
      </c>
      <c r="D55" s="61"/>
      <c r="G55" s="72">
        <f>CHOOSE('Mold coefficients'!$D$48,'Mold coefficients'!B50,'Mold coefficients'!B51,'Mold coefficients'!B52,'Mold coefficients'!B53,'Mold coefficients'!B54,'Mold coefficients'!B55,'Mold coefficients'!B56)</f>
        <v>0.1</v>
      </c>
      <c r="H55" s="72">
        <f>CHOOSE('Mold coefficients'!$D$48,'Mold coefficients'!C50,'Mold coefficients'!C51,'Mold coefficients'!C52,'Mold coefficients'!C53,'Mold coefficients'!C54,'Mold coefficients'!C55,'Mold coefficients'!C56)</f>
        <v>0.1</v>
      </c>
    </row>
    <row r="56" spans="1:8" ht="36.75" customHeight="1">
      <c r="A56" s="102" t="s">
        <v>174</v>
      </c>
      <c r="D56" s="61"/>
      <c r="G56" s="72">
        <f>CHOOSE('Mold coefficients'!$D$58,'Mold coefficients'!B60,'Mold coefficients'!B61,'Mold coefficients'!B62)</f>
        <v>0</v>
      </c>
      <c r="H56" s="72">
        <f>CHOOSE('Mold coefficients'!$D$58,'Mold coefficients'!C60,'Mold coefficients'!C61,'Mold coefficients'!C62)</f>
        <v>0</v>
      </c>
    </row>
    <row r="57" spans="1:8" ht="34.5" customHeight="1">
      <c r="A57" s="102" t="s">
        <v>175</v>
      </c>
      <c r="D57" s="61"/>
      <c r="G57" s="72">
        <f>CHOOSE('Mold coefficients'!$D$63,'Mold coefficients'!B63,'Mold coefficients'!B64,'Mold coefficients'!B65)</f>
        <v>0.1</v>
      </c>
      <c r="H57" s="72">
        <f>CHOOSE('Mold coefficients'!$D$63,'Mold coefficients'!C63,'Mold coefficients'!C64,'Mold coefficients'!C65)</f>
        <v>0.2</v>
      </c>
    </row>
    <row r="58" spans="1:8">
      <c r="A58" s="102" t="s">
        <v>176</v>
      </c>
      <c r="B58" s="72">
        <v>0.05</v>
      </c>
      <c r="C58" s="72">
        <v>0.1</v>
      </c>
      <c r="D58" s="111"/>
      <c r="E58" s="72" t="b">
        <v>1</v>
      </c>
      <c r="G58" s="72">
        <f>IF($E58,B58,0)</f>
        <v>0.05</v>
      </c>
      <c r="H58" s="72">
        <f>IF($E58,C58,0)</f>
        <v>0.1</v>
      </c>
    </row>
    <row r="59" spans="1:8">
      <c r="A59" s="102" t="s">
        <v>177</v>
      </c>
      <c r="B59" s="72">
        <v>0.05</v>
      </c>
      <c r="C59" s="72">
        <v>0.1</v>
      </c>
      <c r="D59" s="111"/>
      <c r="E59" s="72" t="b">
        <v>1</v>
      </c>
      <c r="G59" s="72">
        <f t="shared" ref="G59:H66" si="2">IF($E59,B59,0)</f>
        <v>0.05</v>
      </c>
      <c r="H59" s="72">
        <f t="shared" si="2"/>
        <v>0.1</v>
      </c>
    </row>
    <row r="60" spans="1:8">
      <c r="A60" s="102" t="s">
        <v>178</v>
      </c>
      <c r="B60" s="72">
        <v>0.2</v>
      </c>
      <c r="C60" s="72">
        <v>0.5</v>
      </c>
      <c r="D60" s="111"/>
      <c r="E60" s="72" t="b">
        <v>0</v>
      </c>
      <c r="G60" s="72">
        <f t="shared" si="2"/>
        <v>0</v>
      </c>
      <c r="H60" s="72">
        <f t="shared" si="2"/>
        <v>0</v>
      </c>
    </row>
    <row r="61" spans="1:8">
      <c r="A61" s="102" t="s">
        <v>179</v>
      </c>
      <c r="B61" s="72">
        <v>0</v>
      </c>
      <c r="C61" s="72">
        <v>0.1</v>
      </c>
      <c r="D61" s="111"/>
      <c r="E61" s="72" t="b">
        <v>0</v>
      </c>
      <c r="G61" s="72">
        <f t="shared" si="2"/>
        <v>0</v>
      </c>
      <c r="H61" s="72">
        <f t="shared" si="2"/>
        <v>0</v>
      </c>
    </row>
    <row r="62" spans="1:8">
      <c r="A62" s="102" t="s">
        <v>180</v>
      </c>
      <c r="B62" s="72">
        <v>0.2</v>
      </c>
      <c r="C62" s="72">
        <v>1</v>
      </c>
      <c r="D62" s="111"/>
      <c r="E62" s="72" t="b">
        <v>0</v>
      </c>
      <c r="G62" s="72">
        <f t="shared" si="2"/>
        <v>0</v>
      </c>
      <c r="H62" s="72">
        <f t="shared" si="2"/>
        <v>0</v>
      </c>
    </row>
    <row r="63" spans="1:8">
      <c r="A63" s="102" t="s">
        <v>181</v>
      </c>
      <c r="B63" s="72">
        <v>0.4</v>
      </c>
      <c r="C63" s="72">
        <v>0.4</v>
      </c>
      <c r="D63" s="111"/>
      <c r="E63" s="72" t="b">
        <v>1</v>
      </c>
      <c r="G63" s="72">
        <f t="shared" si="2"/>
        <v>0.4</v>
      </c>
      <c r="H63" s="72">
        <f t="shared" si="2"/>
        <v>0.4</v>
      </c>
    </row>
    <row r="64" spans="1:8">
      <c r="A64" s="102" t="s">
        <v>182</v>
      </c>
      <c r="B64" s="72">
        <v>0.4</v>
      </c>
      <c r="C64" s="72">
        <v>0.4</v>
      </c>
      <c r="D64" s="111"/>
      <c r="E64" s="72" t="b">
        <v>0</v>
      </c>
      <c r="G64" s="72">
        <f t="shared" si="2"/>
        <v>0</v>
      </c>
      <c r="H64" s="72">
        <f t="shared" si="2"/>
        <v>0</v>
      </c>
    </row>
    <row r="65" spans="1:8">
      <c r="A65" s="102" t="s">
        <v>183</v>
      </c>
      <c r="B65" s="72">
        <v>2</v>
      </c>
      <c r="C65" s="72">
        <v>4</v>
      </c>
      <c r="D65" s="111"/>
      <c r="E65" s="72" t="b">
        <v>0</v>
      </c>
      <c r="G65" s="72">
        <f t="shared" si="2"/>
        <v>0</v>
      </c>
      <c r="H65" s="72">
        <f t="shared" si="2"/>
        <v>0</v>
      </c>
    </row>
    <row r="66" spans="1:8" ht="15.75" thickBot="1">
      <c r="A66" s="98" t="s">
        <v>184</v>
      </c>
      <c r="B66" s="112">
        <v>3</v>
      </c>
      <c r="C66" s="112">
        <v>6</v>
      </c>
      <c r="D66" s="113"/>
      <c r="E66" s="72" t="b">
        <v>0</v>
      </c>
      <c r="G66" s="72">
        <f t="shared" si="2"/>
        <v>0</v>
      </c>
      <c r="H66" s="72">
        <f t="shared" si="2"/>
        <v>0</v>
      </c>
    </row>
  </sheetData>
  <mergeCells count="1">
    <mergeCell ref="A38:A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ist Box 1">
              <controlPr defaultSize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47625</xdr:colOff>
                    <xdr:row>7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ist Box 2">
              <controlPr defaultSize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5</xdr:col>
                    <xdr:colOff>457200</xdr:colOff>
                    <xdr:row>18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ist Box 3">
              <controlPr defaultSize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6</xdr:col>
                    <xdr:colOff>142875</xdr:colOff>
                    <xdr:row>19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ist Box 4">
              <controlPr defaultSize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6</xdr:col>
                    <xdr:colOff>142875</xdr:colOff>
                    <xdr:row>20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 altText="Molder profit">
                <anchor moveWithCells="1">
                  <from>
                    <xdr:col>3</xdr:col>
                    <xdr:colOff>9525</xdr:colOff>
                    <xdr:row>21</xdr:row>
                    <xdr:rowOff>19050</xdr:rowOff>
                  </from>
                  <to>
                    <xdr:col>3</xdr:col>
                    <xdr:colOff>190500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3</xdr:col>
                    <xdr:colOff>200025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0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219075</xdr:rowOff>
                  </from>
                  <to>
                    <xdr:col>3</xdr:col>
                    <xdr:colOff>219075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3</xdr:col>
                    <xdr:colOff>9525</xdr:colOff>
                    <xdr:row>25</xdr:row>
                    <xdr:rowOff>0</xdr:rowOff>
                  </from>
                  <to>
                    <xdr:col>3</xdr:col>
                    <xdr:colOff>219075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3</xdr:col>
                    <xdr:colOff>9525</xdr:colOff>
                    <xdr:row>26</xdr:row>
                    <xdr:rowOff>0</xdr:rowOff>
                  </from>
                  <to>
                    <xdr:col>3</xdr:col>
                    <xdr:colOff>228600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3</xdr:col>
                    <xdr:colOff>9525</xdr:colOff>
                    <xdr:row>27</xdr:row>
                    <xdr:rowOff>0</xdr:rowOff>
                  </from>
                  <to>
                    <xdr:col>3</xdr:col>
                    <xdr:colOff>228600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3</xdr:col>
                    <xdr:colOff>9525</xdr:colOff>
                    <xdr:row>28</xdr:row>
                    <xdr:rowOff>0</xdr:rowOff>
                  </from>
                  <to>
                    <xdr:col>3</xdr:col>
                    <xdr:colOff>219075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247650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List Box 14">
              <controlPr defaultSize="0" autoLine="0" autoPict="0">
                <anchor moveWithCells="1">
                  <from>
                    <xdr:col>2</xdr:col>
                    <xdr:colOff>0</xdr:colOff>
                    <xdr:row>33</xdr:row>
                    <xdr:rowOff>9525</xdr:rowOff>
                  </from>
                  <to>
                    <xdr:col>3</xdr:col>
                    <xdr:colOff>762000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List Box 15">
              <controlPr defaultSize="0" autoLine="0" autoPict="0">
                <anchor moveWithCells="1">
                  <from>
                    <xdr:col>2</xdr:col>
                    <xdr:colOff>0</xdr:colOff>
                    <xdr:row>34</xdr:row>
                    <xdr:rowOff>9525</xdr:rowOff>
                  </from>
                  <to>
                    <xdr:col>3</xdr:col>
                    <xdr:colOff>762000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List Box 16">
              <controlPr defaultSize="0" autoLine="0" autoPict="0">
                <anchor moveWithCells="1">
                  <from>
                    <xdr:col>2</xdr:col>
                    <xdr:colOff>9525</xdr:colOff>
                    <xdr:row>52</xdr:row>
                    <xdr:rowOff>9525</xdr:rowOff>
                  </from>
                  <to>
                    <xdr:col>5</xdr:col>
                    <xdr:colOff>2286000</xdr:colOff>
                    <xdr:row>52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List Box 17">
              <controlPr defaultSize="0" autoLine="0" autoPict="0">
                <anchor moveWithCells="1">
                  <from>
                    <xdr:col>2</xdr:col>
                    <xdr:colOff>9525</xdr:colOff>
                    <xdr:row>53</xdr:row>
                    <xdr:rowOff>9525</xdr:rowOff>
                  </from>
                  <to>
                    <xdr:col>5</xdr:col>
                    <xdr:colOff>2286000</xdr:colOff>
                    <xdr:row>53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List Box 18">
              <controlPr defaultSize="0" autoLine="0" autoPict="0">
                <anchor moveWithCells="1">
                  <from>
                    <xdr:col>2</xdr:col>
                    <xdr:colOff>9525</xdr:colOff>
                    <xdr:row>54</xdr:row>
                    <xdr:rowOff>9525</xdr:rowOff>
                  </from>
                  <to>
                    <xdr:col>5</xdr:col>
                    <xdr:colOff>2276475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List Box 19">
              <controlPr defaultSize="0" autoLine="0" autoPict="0">
                <anchor moveWithCells="1">
                  <from>
                    <xdr:col>2</xdr:col>
                    <xdr:colOff>9525</xdr:colOff>
                    <xdr:row>55</xdr:row>
                    <xdr:rowOff>9525</xdr:rowOff>
                  </from>
                  <to>
                    <xdr:col>5</xdr:col>
                    <xdr:colOff>2276475</xdr:colOff>
                    <xdr:row>55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List Box 20">
              <controlPr defaultSize="0" autoLine="0" autoPict="0">
                <anchor moveWithCells="1">
                  <from>
                    <xdr:col>2</xdr:col>
                    <xdr:colOff>9525</xdr:colOff>
                    <xdr:row>56</xdr:row>
                    <xdr:rowOff>9525</xdr:rowOff>
                  </from>
                  <to>
                    <xdr:col>5</xdr:col>
                    <xdr:colOff>2276475</xdr:colOff>
                    <xdr:row>56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2</xdr:col>
                    <xdr:colOff>323850</xdr:colOff>
                    <xdr:row>57</xdr:row>
                    <xdr:rowOff>0</xdr:rowOff>
                  </from>
                  <to>
                    <xdr:col>3</xdr:col>
                    <xdr:colOff>295275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2</xdr:col>
                    <xdr:colOff>323850</xdr:colOff>
                    <xdr:row>58</xdr:row>
                    <xdr:rowOff>0</xdr:rowOff>
                  </from>
                  <to>
                    <xdr:col>3</xdr:col>
                    <xdr:colOff>295275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3</xdr:col>
                    <xdr:colOff>314325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219075</xdr:colOff>
                    <xdr:row>61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3</xdr:col>
                    <xdr:colOff>314325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314325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3</xdr:col>
                    <xdr:colOff>314325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64</xdr:row>
                    <xdr:rowOff>9525</xdr:rowOff>
                  </from>
                  <to>
                    <xdr:col>3</xdr:col>
                    <xdr:colOff>314325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3</xdr:col>
                    <xdr:colOff>314325</xdr:colOff>
                    <xdr:row>66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List Box 30">
              <controlPr defaultSize="0" autoLine="0" autoPict="0">
                <anchor moveWithCells="1">
                  <from>
                    <xdr:col>1</xdr:col>
                    <xdr:colOff>714375</xdr:colOff>
                    <xdr:row>35</xdr:row>
                    <xdr:rowOff>0</xdr:rowOff>
                  </from>
                  <to>
                    <xdr:col>5</xdr:col>
                    <xdr:colOff>485775</xdr:colOff>
                    <xdr:row>35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List Box 31">
              <controlPr defaultSize="0" autoLine="0" autoPict="0">
                <anchor moveWithCells="1">
                  <from>
                    <xdr:col>3</xdr:col>
                    <xdr:colOff>0</xdr:colOff>
                    <xdr:row>7</xdr:row>
                    <xdr:rowOff>409575</xdr:rowOff>
                  </from>
                  <to>
                    <xdr:col>5</xdr:col>
                    <xdr:colOff>790575</xdr:colOff>
                    <xdr:row>8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List Box 32">
              <controlPr defaultSize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752475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51339-59E1-45B0-8699-7AC71E248FFA}">
  <sheetPr codeName="Foglio3"/>
  <dimension ref="B1:R9"/>
  <sheetViews>
    <sheetView topLeftCell="C1" zoomScale="115" zoomScaleNormal="115" workbookViewId="0">
      <selection activeCell="M1" sqref="M1:R9"/>
    </sheetView>
  </sheetViews>
  <sheetFormatPr defaultRowHeight="15"/>
  <cols>
    <col min="1" max="1" width="12.7109375" bestFit="1" customWidth="1"/>
    <col min="2" max="2" width="13.5703125" bestFit="1" customWidth="1"/>
    <col min="3" max="3" width="20.42578125" bestFit="1" customWidth="1"/>
    <col min="4" max="4" width="22.5703125" bestFit="1" customWidth="1"/>
    <col min="5" max="5" width="20.7109375" bestFit="1" customWidth="1"/>
    <col min="6" max="6" width="11.85546875" bestFit="1" customWidth="1"/>
    <col min="7" max="7" width="16.28515625" bestFit="1" customWidth="1"/>
    <col min="8" max="8" width="10.85546875" bestFit="1" customWidth="1"/>
    <col min="9" max="9" width="11.28515625" bestFit="1" customWidth="1"/>
    <col min="10" max="10" width="18" bestFit="1" customWidth="1"/>
  </cols>
  <sheetData>
    <row r="1" spans="2:18" ht="18">
      <c r="B1" s="72" t="s">
        <v>5</v>
      </c>
      <c r="C1" s="72" t="s">
        <v>6</v>
      </c>
      <c r="D1" s="72" t="s">
        <v>7</v>
      </c>
      <c r="E1" s="72" t="s">
        <v>8</v>
      </c>
      <c r="K1" t="s">
        <v>111</v>
      </c>
      <c r="L1" s="107" t="s">
        <v>107</v>
      </c>
      <c r="M1" t="s">
        <v>185</v>
      </c>
      <c r="N1" t="s">
        <v>186</v>
      </c>
      <c r="O1" t="s">
        <v>23</v>
      </c>
      <c r="P1" t="s">
        <v>187</v>
      </c>
      <c r="Q1" t="s">
        <v>103</v>
      </c>
      <c r="R1" t="s">
        <v>188</v>
      </c>
    </row>
    <row r="2" spans="2:18">
      <c r="B2" s="72">
        <f>Main!$B$1</f>
        <v>0.34539498695154608</v>
      </c>
      <c r="C2" s="72">
        <f>Main!$E$1</f>
        <v>4.8460809600000002E-2</v>
      </c>
      <c r="D2" s="72">
        <f>Main!$G$1</f>
        <v>0.28376030666666668</v>
      </c>
      <c r="E2" s="72">
        <f>Main!$J$1</f>
        <v>6.2659709458484812E-3</v>
      </c>
      <c r="K2">
        <v>1</v>
      </c>
      <c r="L2">
        <v>1</v>
      </c>
      <c r="M2">
        <f>K2*L2</f>
        <v>1</v>
      </c>
      <c r="N2">
        <v>0.34539498695154608</v>
      </c>
      <c r="O2">
        <v>4.8460809600000002E-2</v>
      </c>
      <c r="P2">
        <v>0.28376030666666668</v>
      </c>
      <c r="Q2">
        <v>6.2659709458484812E-3</v>
      </c>
      <c r="R2">
        <f>SUM(N2:Q2)</f>
        <v>0.68388207416406122</v>
      </c>
    </row>
    <row r="3" spans="2:18">
      <c r="K3">
        <v>2</v>
      </c>
      <c r="L3">
        <v>1</v>
      </c>
      <c r="M3">
        <f t="shared" ref="M3:M8" si="0">K3*L3</f>
        <v>2</v>
      </c>
      <c r="N3">
        <v>0.21845841939132052</v>
      </c>
      <c r="O3">
        <v>4.8460809600000002E-2</v>
      </c>
      <c r="P3">
        <v>0.15746863999999999</v>
      </c>
      <c r="Q3">
        <v>8.1598014034941317E-3</v>
      </c>
      <c r="R3">
        <f t="shared" ref="R3:R9" si="1">SUM(N3:Q3)</f>
        <v>0.43254767039481468</v>
      </c>
    </row>
    <row r="4" spans="2:18">
      <c r="K4">
        <v>2</v>
      </c>
      <c r="L4">
        <v>2</v>
      </c>
      <c r="M4">
        <f t="shared" si="0"/>
        <v>4</v>
      </c>
      <c r="N4">
        <v>0.15764272987943129</v>
      </c>
      <c r="O4">
        <v>4.8460809600000002E-2</v>
      </c>
      <c r="P4">
        <v>9.4322806666666661E-2</v>
      </c>
      <c r="Q4">
        <v>1.1706259015175987E-2</v>
      </c>
      <c r="R4">
        <f t="shared" si="1"/>
        <v>0.31213260516127389</v>
      </c>
    </row>
    <row r="5" spans="2:18">
      <c r="K5">
        <v>3</v>
      </c>
      <c r="L5">
        <v>2</v>
      </c>
      <c r="M5">
        <f t="shared" si="0"/>
        <v>6</v>
      </c>
      <c r="N5">
        <v>0.1396251392475</v>
      </c>
      <c r="O5">
        <v>4.8460809600000002E-2</v>
      </c>
      <c r="P5">
        <v>7.3274195555555574E-2</v>
      </c>
      <c r="Q5">
        <v>1.5097631306994441E-2</v>
      </c>
      <c r="R5">
        <f t="shared" si="1"/>
        <v>0.27645777571005004</v>
      </c>
    </row>
    <row r="6" spans="2:18">
      <c r="K6">
        <v>4</v>
      </c>
      <c r="L6">
        <v>2</v>
      </c>
      <c r="M6">
        <f t="shared" si="0"/>
        <v>8</v>
      </c>
      <c r="N6">
        <v>0.13225575067994924</v>
      </c>
      <c r="O6">
        <v>4.8460809600000002E-2</v>
      </c>
      <c r="P6">
        <v>6.2749890000000003E-2</v>
      </c>
      <c r="Q6">
        <v>1.839993606635025E-2</v>
      </c>
      <c r="R6">
        <f t="shared" si="1"/>
        <v>0.2618663863462995</v>
      </c>
    </row>
    <row r="7" spans="2:18">
      <c r="K7">
        <v>5</v>
      </c>
      <c r="L7">
        <v>2</v>
      </c>
      <c r="M7">
        <f t="shared" si="0"/>
        <v>10</v>
      </c>
      <c r="N7">
        <v>0.12911976313840734</v>
      </c>
      <c r="O7">
        <v>4.8460809600000002E-2</v>
      </c>
      <c r="P7">
        <v>5.6435306666666671E-2</v>
      </c>
      <c r="Q7">
        <v>2.1641251608972508E-2</v>
      </c>
      <c r="R7">
        <f t="shared" si="1"/>
        <v>0.25565713101404652</v>
      </c>
    </row>
    <row r="8" spans="2:18">
      <c r="K8">
        <v>4</v>
      </c>
      <c r="L8">
        <v>3</v>
      </c>
      <c r="M8">
        <f t="shared" si="0"/>
        <v>12</v>
      </c>
      <c r="N8">
        <v>0.12808501115111237</v>
      </c>
      <c r="O8">
        <v>4.8460809600000002E-2</v>
      </c>
      <c r="P8">
        <v>5.2225584444444452E-2</v>
      </c>
      <c r="Q8">
        <v>2.4836916883645675E-2</v>
      </c>
      <c r="R8">
        <f t="shared" si="1"/>
        <v>0.25360832207920248</v>
      </c>
    </row>
    <row r="9" spans="2:18">
      <c r="K9">
        <v>4</v>
      </c>
      <c r="L9">
        <v>4</v>
      </c>
      <c r="M9">
        <f>K9*L9</f>
        <v>16</v>
      </c>
      <c r="N9">
        <v>0.13002045601117723</v>
      </c>
      <c r="O9">
        <v>4.8460809600000002E-2</v>
      </c>
      <c r="P9">
        <v>4.6963431666666673E-2</v>
      </c>
      <c r="Q9">
        <v>3.1995805624286992E-2</v>
      </c>
      <c r="R9">
        <f t="shared" si="1"/>
        <v>0.25744050290213089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">
                <anchor moveWithCells="1" sizeWithCells="1">
                  <from>
                    <xdr:col>7</xdr:col>
                    <xdr:colOff>19050</xdr:colOff>
                    <xdr:row>11</xdr:row>
                    <xdr:rowOff>180975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FEEE4-6822-4FD1-A78C-97EEFBE8A01E}">
  <sheetPr codeName="Foglio7"/>
  <dimension ref="A1:K17"/>
  <sheetViews>
    <sheetView zoomScaleNormal="100" workbookViewId="0">
      <selection activeCell="J24" sqref="J24"/>
    </sheetView>
  </sheetViews>
  <sheetFormatPr defaultRowHeight="15"/>
  <cols>
    <col min="1" max="1" width="12.7109375" bestFit="1" customWidth="1"/>
    <col min="2" max="2" width="13.5703125" bestFit="1" customWidth="1"/>
    <col min="3" max="3" width="20.42578125" bestFit="1" customWidth="1"/>
    <col min="4" max="4" width="22.5703125" bestFit="1" customWidth="1"/>
    <col min="5" max="5" width="20.7109375" bestFit="1" customWidth="1"/>
    <col min="6" max="6" width="11.85546875" bestFit="1" customWidth="1"/>
    <col min="7" max="7" width="16.28515625" bestFit="1" customWidth="1"/>
    <col min="8" max="8" width="10.85546875" bestFit="1" customWidth="1"/>
    <col min="9" max="9" width="11.28515625" bestFit="1" customWidth="1"/>
    <col min="10" max="10" width="18" bestFit="1" customWidth="1"/>
    <col min="11" max="11" width="9.140625" customWidth="1"/>
  </cols>
  <sheetData>
    <row r="1" spans="1:11">
      <c r="A1" s="129"/>
      <c r="B1" s="129"/>
      <c r="C1" s="129"/>
      <c r="D1" s="129"/>
      <c r="E1" s="129"/>
      <c r="F1" s="129"/>
      <c r="G1" s="129"/>
      <c r="H1" s="129"/>
      <c r="I1" s="129"/>
      <c r="J1" s="129" t="s">
        <v>189</v>
      </c>
      <c r="K1" t="s">
        <v>186</v>
      </c>
    </row>
    <row r="2" spans="1:11">
      <c r="A2" s="129"/>
      <c r="B2" s="129"/>
      <c r="C2" s="129"/>
      <c r="D2" s="129"/>
      <c r="E2" s="129"/>
      <c r="F2" s="129"/>
      <c r="G2" s="129"/>
      <c r="H2" s="129"/>
      <c r="I2" s="129"/>
      <c r="J2" s="130">
        <v>10000</v>
      </c>
      <c r="K2">
        <v>0.62245085442192261</v>
      </c>
    </row>
    <row r="3" spans="1:11">
      <c r="A3" s="129"/>
      <c r="B3" s="129"/>
      <c r="C3" s="129"/>
      <c r="D3" s="129"/>
      <c r="E3" s="129"/>
      <c r="F3" s="129"/>
      <c r="G3" s="129"/>
      <c r="H3" s="129"/>
      <c r="I3" s="129"/>
      <c r="J3" s="130">
        <f>J2*1.5</f>
        <v>15000</v>
      </c>
      <c r="K3">
        <v>0.53801209415782503</v>
      </c>
    </row>
    <row r="4" spans="1:11">
      <c r="A4" s="129"/>
      <c r="B4" s="129"/>
      <c r="C4" s="129"/>
      <c r="D4" s="129"/>
      <c r="E4" s="129"/>
      <c r="F4" s="129"/>
      <c r="G4" s="129"/>
      <c r="H4" s="129"/>
      <c r="I4" s="129"/>
      <c r="J4" s="130">
        <f t="shared" ref="J4:J17" si="0">J3*1.5</f>
        <v>22500</v>
      </c>
      <c r="K4">
        <v>0.48171958731509323</v>
      </c>
    </row>
    <row r="5" spans="1:11">
      <c r="A5" s="129"/>
      <c r="B5" s="129"/>
      <c r="C5" s="129"/>
      <c r="D5" s="129"/>
      <c r="E5" s="129"/>
      <c r="F5" s="129"/>
      <c r="G5" s="129"/>
      <c r="H5" s="129"/>
      <c r="I5" s="129"/>
      <c r="J5" s="130">
        <f t="shared" si="0"/>
        <v>33750</v>
      </c>
      <c r="K5">
        <v>0.44419124941993871</v>
      </c>
    </row>
    <row r="6" spans="1:11">
      <c r="A6" s="129"/>
      <c r="B6" s="129"/>
      <c r="C6" s="129"/>
      <c r="D6" s="129"/>
      <c r="E6" s="129"/>
      <c r="F6" s="129"/>
      <c r="G6" s="129"/>
      <c r="H6" s="129"/>
      <c r="I6" s="129"/>
      <c r="J6" s="130">
        <f t="shared" si="0"/>
        <v>50625</v>
      </c>
      <c r="K6">
        <v>0.41917235748983567</v>
      </c>
    </row>
    <row r="7" spans="1:11">
      <c r="A7" s="129"/>
      <c r="B7" s="129"/>
      <c r="C7" s="129"/>
      <c r="D7" s="129"/>
      <c r="E7" s="129"/>
      <c r="F7" s="129"/>
      <c r="G7" s="129"/>
      <c r="H7" s="129"/>
      <c r="I7" s="129"/>
      <c r="J7" s="130">
        <f t="shared" si="0"/>
        <v>75937.5</v>
      </c>
      <c r="K7">
        <v>0.40249309620310031</v>
      </c>
    </row>
    <row r="8" spans="1:11">
      <c r="J8" s="130">
        <f t="shared" si="0"/>
        <v>113906.25</v>
      </c>
      <c r="K8">
        <v>0.37077497874815696</v>
      </c>
    </row>
    <row r="9" spans="1:11">
      <c r="J9" s="130">
        <f t="shared" si="0"/>
        <v>170859.375</v>
      </c>
      <c r="K9">
        <v>0.3637521318905842</v>
      </c>
    </row>
    <row r="10" spans="1:11">
      <c r="J10" s="130">
        <f t="shared" si="0"/>
        <v>256289.0625</v>
      </c>
      <c r="K10">
        <v>0.35907023398553561</v>
      </c>
    </row>
    <row r="11" spans="1:11">
      <c r="J11" s="130">
        <f t="shared" si="0"/>
        <v>384433.59375</v>
      </c>
      <c r="K11">
        <v>0.3559489687155033</v>
      </c>
    </row>
    <row r="12" spans="1:11">
      <c r="J12" s="130">
        <f t="shared" si="0"/>
        <v>576650.390625</v>
      </c>
      <c r="K12">
        <v>0.35450611507466101</v>
      </c>
    </row>
    <row r="13" spans="1:11">
      <c r="J13" s="130">
        <f t="shared" si="0"/>
        <v>864975.5859375</v>
      </c>
      <c r="K13">
        <v>0.35450611507466101</v>
      </c>
    </row>
    <row r="14" spans="1:11">
      <c r="J14" s="130">
        <f>J13*1.5</f>
        <v>1297463.37890625</v>
      </c>
      <c r="K14">
        <v>0.34365388706217143</v>
      </c>
    </row>
    <row r="15" spans="1:11">
      <c r="J15" s="130">
        <f t="shared" si="0"/>
        <v>1946195.068359375</v>
      </c>
      <c r="K15">
        <v>0.34365388706217143</v>
      </c>
    </row>
    <row r="16" spans="1:11">
      <c r="J16" s="130">
        <f t="shared" si="0"/>
        <v>2919292.6025390625</v>
      </c>
      <c r="K16">
        <v>0.34365388706217143</v>
      </c>
    </row>
    <row r="17" spans="10:11">
      <c r="J17" s="130">
        <f t="shared" si="0"/>
        <v>4378938.9038085938</v>
      </c>
      <c r="K17">
        <v>0.34365388706217143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A6600-7319-42B6-ACE0-12565C63F97C}">
  <sheetPr codeName="Foglio4"/>
  <dimension ref="A1:O30"/>
  <sheetViews>
    <sheetView zoomScale="115" zoomScaleNormal="115" workbookViewId="0">
      <selection activeCell="E13" sqref="E13"/>
    </sheetView>
  </sheetViews>
  <sheetFormatPr defaultRowHeight="15"/>
  <cols>
    <col min="1" max="1" width="12" bestFit="1" customWidth="1"/>
    <col min="2" max="2" width="13.5703125" customWidth="1"/>
    <col min="4" max="4" width="10.5703125" customWidth="1"/>
    <col min="5" max="5" width="24.42578125" customWidth="1"/>
    <col min="6" max="6" width="23.7109375" customWidth="1"/>
  </cols>
  <sheetData>
    <row r="1" spans="1:15" ht="39.75" customHeight="1">
      <c r="A1" s="8" t="s">
        <v>23</v>
      </c>
      <c r="B1" s="9" t="s">
        <v>190</v>
      </c>
      <c r="C1" s="9" t="s">
        <v>191</v>
      </c>
      <c r="D1" s="9" t="s">
        <v>192</v>
      </c>
      <c r="E1" s="9" t="s">
        <v>193</v>
      </c>
      <c r="F1" s="10" t="s">
        <v>194</v>
      </c>
      <c r="G1" s="1"/>
      <c r="H1" s="1"/>
      <c r="I1" s="1"/>
      <c r="J1" s="1"/>
      <c r="K1" s="1"/>
      <c r="L1" s="1"/>
      <c r="M1" s="1"/>
      <c r="N1" s="1"/>
      <c r="O1" s="1"/>
    </row>
    <row r="2" spans="1:15">
      <c r="A2" s="11" t="s">
        <v>195</v>
      </c>
      <c r="B2" s="12" t="s">
        <v>196</v>
      </c>
      <c r="C2" s="13" t="s">
        <v>197</v>
      </c>
      <c r="D2" s="12" t="s">
        <v>198</v>
      </c>
      <c r="E2" s="14">
        <v>2.8</v>
      </c>
      <c r="F2" s="15">
        <v>1044</v>
      </c>
    </row>
    <row r="3" spans="1:15">
      <c r="A3" s="16" t="s">
        <v>199</v>
      </c>
      <c r="B3" s="17" t="s">
        <v>200</v>
      </c>
      <c r="C3" s="18">
        <v>500</v>
      </c>
      <c r="D3" s="17" t="s">
        <v>201</v>
      </c>
      <c r="E3" s="19">
        <v>3.09</v>
      </c>
      <c r="F3" s="20">
        <v>1435</v>
      </c>
    </row>
    <row r="4" spans="1:15">
      <c r="A4" s="11" t="s">
        <v>202</v>
      </c>
      <c r="B4" s="12" t="s">
        <v>203</v>
      </c>
      <c r="C4" s="13">
        <v>8202</v>
      </c>
      <c r="D4" s="12" t="s">
        <v>204</v>
      </c>
      <c r="E4" s="14">
        <v>3.2</v>
      </c>
      <c r="F4" s="15">
        <v>1153</v>
      </c>
    </row>
    <row r="5" spans="1:15">
      <c r="A5" s="16" t="s">
        <v>205</v>
      </c>
      <c r="B5" s="17" t="s">
        <v>206</v>
      </c>
      <c r="C5" s="18">
        <v>1402</v>
      </c>
      <c r="D5" s="17" t="s">
        <v>207</v>
      </c>
      <c r="E5" s="19">
        <v>3.64</v>
      </c>
      <c r="F5" s="20">
        <v>1151</v>
      </c>
    </row>
    <row r="6" spans="1:15">
      <c r="A6" s="11" t="s">
        <v>208</v>
      </c>
      <c r="B6" s="12" t="s">
        <v>206</v>
      </c>
      <c r="C6" s="13" t="s">
        <v>209</v>
      </c>
      <c r="D6" s="12" t="s">
        <v>207</v>
      </c>
      <c r="E6" s="14">
        <v>4.18</v>
      </c>
      <c r="F6" s="15">
        <v>1426</v>
      </c>
    </row>
    <row r="7" spans="1:15">
      <c r="A7" s="16" t="s">
        <v>210</v>
      </c>
      <c r="B7" s="17" t="s">
        <v>211</v>
      </c>
      <c r="C7" s="18" t="s">
        <v>212</v>
      </c>
      <c r="D7" s="17" t="s">
        <v>198</v>
      </c>
      <c r="E7" s="19">
        <v>4.08</v>
      </c>
      <c r="F7" s="20">
        <v>1192</v>
      </c>
    </row>
    <row r="8" spans="1:15">
      <c r="A8" s="11" t="s">
        <v>213</v>
      </c>
      <c r="B8" s="12" t="s">
        <v>214</v>
      </c>
      <c r="C8" s="13" t="s">
        <v>215</v>
      </c>
      <c r="D8" s="12" t="s">
        <v>216</v>
      </c>
      <c r="E8" s="14">
        <v>2.34</v>
      </c>
      <c r="F8" s="15">
        <v>894</v>
      </c>
    </row>
    <row r="9" spans="1:15">
      <c r="A9" s="16" t="s">
        <v>217</v>
      </c>
      <c r="B9" s="17" t="s">
        <v>218</v>
      </c>
      <c r="C9" s="18" t="s">
        <v>219</v>
      </c>
      <c r="D9" s="17" t="s">
        <v>220</v>
      </c>
      <c r="E9" s="19">
        <v>2.0299999999999998</v>
      </c>
      <c r="F9" s="20">
        <v>952</v>
      </c>
    </row>
    <row r="10" spans="1:15">
      <c r="A10" s="11" t="s">
        <v>221</v>
      </c>
      <c r="B10" s="12" t="s">
        <v>222</v>
      </c>
      <c r="C10" s="13" t="s">
        <v>223</v>
      </c>
      <c r="D10" s="12" t="s">
        <v>224</v>
      </c>
      <c r="E10" s="14">
        <v>2.0299999999999998</v>
      </c>
      <c r="F10" s="15">
        <v>1336</v>
      </c>
    </row>
    <row r="11" spans="1:15">
      <c r="A11" s="16" t="s">
        <v>225</v>
      </c>
      <c r="B11" s="17" t="s">
        <v>226</v>
      </c>
      <c r="C11" s="18" t="s">
        <v>227</v>
      </c>
      <c r="D11" s="17" t="s">
        <v>228</v>
      </c>
      <c r="E11" s="19">
        <v>2.87</v>
      </c>
      <c r="F11" s="20">
        <v>1186</v>
      </c>
    </row>
    <row r="12" spans="1:15">
      <c r="A12" s="11" t="s">
        <v>229</v>
      </c>
      <c r="B12" s="12" t="s">
        <v>230</v>
      </c>
      <c r="C12" s="13" t="s">
        <v>231</v>
      </c>
      <c r="D12" s="12" t="s">
        <v>232</v>
      </c>
      <c r="E12" s="14">
        <v>2.1</v>
      </c>
      <c r="F12" s="15">
        <v>929</v>
      </c>
    </row>
    <row r="13" spans="1:15">
      <c r="A13" s="16" t="s">
        <v>233</v>
      </c>
      <c r="B13" s="17" t="s">
        <v>234</v>
      </c>
      <c r="C13" s="18" t="s">
        <v>235</v>
      </c>
      <c r="D13" s="17" t="s">
        <v>236</v>
      </c>
      <c r="E13" s="19">
        <v>2.54</v>
      </c>
      <c r="F13" s="20">
        <v>1127</v>
      </c>
    </row>
    <row r="14" spans="1:15">
      <c r="A14" s="11" t="s">
        <v>237</v>
      </c>
      <c r="B14" s="12" t="s">
        <v>238</v>
      </c>
      <c r="C14" s="13" t="s">
        <v>239</v>
      </c>
      <c r="D14" s="12" t="s">
        <v>232</v>
      </c>
      <c r="E14" s="14">
        <v>2.65</v>
      </c>
      <c r="F14" s="15">
        <v>1036</v>
      </c>
    </row>
    <row r="15" spans="1:15">
      <c r="A15" s="16" t="s">
        <v>240</v>
      </c>
      <c r="B15" s="17" t="s">
        <v>241</v>
      </c>
      <c r="C15" s="18" t="s">
        <v>242</v>
      </c>
      <c r="D15" s="17" t="s">
        <v>232</v>
      </c>
      <c r="E15" s="19">
        <v>3.11</v>
      </c>
      <c r="F15" s="20">
        <v>1265</v>
      </c>
    </row>
    <row r="16" spans="1:15">
      <c r="A16" s="11" t="s">
        <v>243</v>
      </c>
      <c r="B16" s="12" t="s">
        <v>244</v>
      </c>
      <c r="C16" s="13" t="s">
        <v>245</v>
      </c>
      <c r="D16" s="12" t="s">
        <v>246</v>
      </c>
      <c r="E16" s="14">
        <v>2.4700000000000002</v>
      </c>
      <c r="F16" s="15">
        <v>1350</v>
      </c>
    </row>
    <row r="17" spans="1:6">
      <c r="A17" s="4" t="s">
        <v>247</v>
      </c>
      <c r="B17" s="5" t="s">
        <v>244</v>
      </c>
      <c r="C17" s="21" t="s">
        <v>248</v>
      </c>
      <c r="D17" s="5" t="s">
        <v>246</v>
      </c>
      <c r="E17" s="22">
        <v>2.97</v>
      </c>
      <c r="F17" s="6">
        <v>1198</v>
      </c>
    </row>
    <row r="30" spans="1:6">
      <c r="A3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D1AF0-876A-4777-B082-2376F4122447}">
  <sheetPr codeName="Foglio5"/>
  <dimension ref="A1:C30"/>
  <sheetViews>
    <sheetView workbookViewId="0">
      <selection activeCell="C28" sqref="C28"/>
    </sheetView>
  </sheetViews>
  <sheetFormatPr defaultRowHeight="15"/>
  <cols>
    <col min="1" max="1" width="41.42578125" customWidth="1"/>
    <col min="2" max="2" width="49.5703125" customWidth="1"/>
    <col min="3" max="3" width="48.85546875" customWidth="1"/>
  </cols>
  <sheetData>
    <row r="1" spans="1:3">
      <c r="A1" s="3" t="s">
        <v>249</v>
      </c>
      <c r="B1">
        <v>2</v>
      </c>
    </row>
    <row r="2" spans="1:3" ht="18">
      <c r="A2" s="23" t="s">
        <v>250</v>
      </c>
      <c r="B2" s="23" t="s">
        <v>251</v>
      </c>
      <c r="C2" s="42"/>
    </row>
    <row r="3" spans="1:3">
      <c r="A3" s="24" t="s">
        <v>252</v>
      </c>
      <c r="B3" s="24">
        <v>1.25</v>
      </c>
      <c r="C3" s="42"/>
    </row>
    <row r="4" spans="1:3">
      <c r="A4" t="s">
        <v>253</v>
      </c>
      <c r="B4">
        <v>1.08</v>
      </c>
    </row>
    <row r="5" spans="1:3">
      <c r="A5" s="24" t="s">
        <v>254</v>
      </c>
      <c r="B5" s="24">
        <v>1.05</v>
      </c>
    </row>
    <row r="6" spans="1:3">
      <c r="A6" t="s">
        <v>255</v>
      </c>
      <c r="B6">
        <v>1.02</v>
      </c>
    </row>
    <row r="8" spans="1:3">
      <c r="A8" s="3" t="s">
        <v>256</v>
      </c>
      <c r="B8">
        <v>3</v>
      </c>
    </row>
    <row r="9" spans="1:3" ht="18">
      <c r="A9" s="25" t="s">
        <v>257</v>
      </c>
      <c r="B9" s="26" t="s">
        <v>258</v>
      </c>
    </row>
    <row r="10" spans="1:3" ht="30">
      <c r="A10" s="27" t="s">
        <v>259</v>
      </c>
      <c r="B10" s="28">
        <v>2.25</v>
      </c>
    </row>
    <row r="11" spans="1:3" ht="30" customHeight="1">
      <c r="A11" s="29" t="s">
        <v>260</v>
      </c>
      <c r="B11" s="30">
        <v>1.5</v>
      </c>
    </row>
    <row r="12" spans="1:3">
      <c r="A12" s="27" t="s">
        <v>261</v>
      </c>
      <c r="B12" s="28">
        <v>1.25</v>
      </c>
    </row>
    <row r="13" spans="1:3" ht="30">
      <c r="A13" s="29" t="s">
        <v>262</v>
      </c>
      <c r="B13" s="30">
        <v>2</v>
      </c>
    </row>
    <row r="14" spans="1:3" ht="30" customHeight="1">
      <c r="A14" s="27" t="s">
        <v>263</v>
      </c>
      <c r="B14" s="28">
        <v>1.25</v>
      </c>
    </row>
    <row r="15" spans="1:3">
      <c r="A15" s="31" t="s">
        <v>264</v>
      </c>
      <c r="B15" s="32">
        <v>1</v>
      </c>
    </row>
    <row r="17" spans="1:3">
      <c r="A17" s="3" t="s">
        <v>265</v>
      </c>
      <c r="B17">
        <v>2</v>
      </c>
    </row>
    <row r="18" spans="1:3" ht="18">
      <c r="A18" s="38" t="s">
        <v>266</v>
      </c>
      <c r="B18" s="39" t="s">
        <v>267</v>
      </c>
    </row>
    <row r="19" spans="1:3" ht="30">
      <c r="A19" s="27" t="s">
        <v>268</v>
      </c>
      <c r="B19" s="40">
        <v>0.8</v>
      </c>
    </row>
    <row r="20" spans="1:3" ht="30">
      <c r="A20" s="29" t="s">
        <v>269</v>
      </c>
      <c r="B20" s="41">
        <v>1</v>
      </c>
    </row>
    <row r="21" spans="1:3" ht="30">
      <c r="A21" s="27" t="s">
        <v>270</v>
      </c>
      <c r="B21" s="40">
        <v>1.1000000000000001</v>
      </c>
    </row>
    <row r="22" spans="1:3">
      <c r="B22" s="37"/>
    </row>
    <row r="23" spans="1:3">
      <c r="A23" s="3" t="s">
        <v>271</v>
      </c>
      <c r="B23">
        <v>2</v>
      </c>
      <c r="C23">
        <f>(B23-1)*3+INT(LOG10(Main!$D$4))-3</f>
        <v>6</v>
      </c>
    </row>
    <row r="24" spans="1:3">
      <c r="A24" t="s">
        <v>18</v>
      </c>
    </row>
    <row r="25" spans="1:3">
      <c r="A25" t="s">
        <v>272</v>
      </c>
      <c r="B25">
        <v>1</v>
      </c>
      <c r="C25">
        <v>0.95</v>
      </c>
    </row>
    <row r="26" spans="1:3">
      <c r="A26" t="s">
        <v>273</v>
      </c>
      <c r="B26">
        <v>2</v>
      </c>
      <c r="C26">
        <v>0.98</v>
      </c>
    </row>
    <row r="27" spans="1:3">
      <c r="C27">
        <v>0.99</v>
      </c>
    </row>
    <row r="28" spans="1:3">
      <c r="C28">
        <v>0.9</v>
      </c>
    </row>
    <row r="29" spans="1:3">
      <c r="C29">
        <v>0.95</v>
      </c>
    </row>
    <row r="30" spans="1:3">
      <c r="C30">
        <v>0.98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A8B7-8E7A-4E45-898F-17C7ECCA79B5}">
  <sheetPr codeName="Foglio6"/>
  <dimension ref="A1:E88"/>
  <sheetViews>
    <sheetView tabSelected="1" workbookViewId="0">
      <selection activeCell="I9" sqref="I9"/>
    </sheetView>
  </sheetViews>
  <sheetFormatPr defaultRowHeight="15"/>
  <cols>
    <col min="1" max="1" width="29.140625" customWidth="1"/>
    <col min="2" max="2" width="22.5703125" customWidth="1"/>
    <col min="3" max="3" width="35.5703125" customWidth="1"/>
    <col min="4" max="4" width="25.85546875" customWidth="1"/>
  </cols>
  <sheetData>
    <row r="1" spans="1:5">
      <c r="A1" s="3" t="s">
        <v>274</v>
      </c>
      <c r="D1">
        <v>2</v>
      </c>
    </row>
    <row r="2" spans="1:5">
      <c r="A2" s="125" t="s">
        <v>275</v>
      </c>
      <c r="B2" s="125" t="s">
        <v>276</v>
      </c>
      <c r="C2" s="125" t="s">
        <v>277</v>
      </c>
      <c r="D2" s="125" t="s">
        <v>278</v>
      </c>
      <c r="E2" s="125" t="s">
        <v>279</v>
      </c>
    </row>
    <row r="3" spans="1:5">
      <c r="A3" s="47" t="s">
        <v>280</v>
      </c>
      <c r="B3" s="47" t="s">
        <v>281</v>
      </c>
      <c r="C3" s="126">
        <v>10.8</v>
      </c>
      <c r="D3" s="126">
        <v>2850</v>
      </c>
      <c r="E3" s="47" t="s">
        <v>282</v>
      </c>
    </row>
    <row r="4" spans="1:5">
      <c r="A4" s="50" t="s">
        <v>283</v>
      </c>
      <c r="B4" s="50" t="s">
        <v>284</v>
      </c>
      <c r="C4" s="127">
        <v>3.99</v>
      </c>
      <c r="D4" s="127">
        <v>7800</v>
      </c>
      <c r="E4" s="50" t="s">
        <v>285</v>
      </c>
    </row>
    <row r="5" spans="1:5">
      <c r="A5" s="47" t="s">
        <v>286</v>
      </c>
      <c r="B5" s="47" t="s">
        <v>287</v>
      </c>
      <c r="C5" s="126">
        <v>6.46</v>
      </c>
      <c r="D5" s="127">
        <v>7800</v>
      </c>
      <c r="E5" s="47" t="s">
        <v>288</v>
      </c>
    </row>
    <row r="6" spans="1:5">
      <c r="A6" s="50" t="s">
        <v>289</v>
      </c>
      <c r="B6" s="50" t="s">
        <v>290</v>
      </c>
      <c r="C6" s="127">
        <v>8.08</v>
      </c>
      <c r="D6" s="127">
        <v>7800</v>
      </c>
      <c r="E6" s="50" t="s">
        <v>291</v>
      </c>
    </row>
    <row r="7" spans="1:5">
      <c r="A7" s="53" t="s">
        <v>292</v>
      </c>
      <c r="B7" s="53" t="s">
        <v>293</v>
      </c>
      <c r="C7" s="128">
        <v>13.19</v>
      </c>
      <c r="D7" s="127">
        <v>7800</v>
      </c>
      <c r="E7" s="53" t="s">
        <v>294</v>
      </c>
    </row>
    <row r="9" spans="1:5">
      <c r="A9" s="3" t="s">
        <v>295</v>
      </c>
      <c r="D9">
        <v>6</v>
      </c>
    </row>
    <row r="10" spans="1:5">
      <c r="A10" s="43" t="s">
        <v>296</v>
      </c>
      <c r="B10" s="44" t="s">
        <v>297</v>
      </c>
      <c r="C10" s="43" t="s">
        <v>298</v>
      </c>
      <c r="D10" s="45" t="s">
        <v>299</v>
      </c>
    </row>
    <row r="11" spans="1:5">
      <c r="A11" s="76" t="s">
        <v>300</v>
      </c>
      <c r="B11" s="47">
        <v>7.5999999999999998E-2</v>
      </c>
      <c r="C11" s="79">
        <v>9.1000000000000004E-3</v>
      </c>
      <c r="D11" s="82">
        <v>0.22500000000000001</v>
      </c>
    </row>
    <row r="12" spans="1:5">
      <c r="A12" s="77" t="s">
        <v>301</v>
      </c>
      <c r="B12" s="50">
        <v>5.8000000000000003E-2</v>
      </c>
      <c r="C12" s="80">
        <v>9.1000000000000004E-3</v>
      </c>
      <c r="D12" s="83">
        <v>0.22500000000000001</v>
      </c>
    </row>
    <row r="13" spans="1:5">
      <c r="A13" s="76" t="s">
        <v>302</v>
      </c>
      <c r="B13" s="47">
        <v>0.53100000000000003</v>
      </c>
      <c r="C13" s="79">
        <v>1.4E-3</v>
      </c>
      <c r="D13" s="82">
        <v>3.4000000000000002E-2</v>
      </c>
    </row>
    <row r="14" spans="1:5">
      <c r="A14" s="77">
        <v>1045</v>
      </c>
      <c r="B14" s="50">
        <v>3.6999999999999998E-2</v>
      </c>
      <c r="C14" s="80">
        <v>2.0999999999999999E-3</v>
      </c>
      <c r="D14" s="83">
        <v>5.2999999999999999E-2</v>
      </c>
    </row>
    <row r="15" spans="1:5">
      <c r="A15" s="76">
        <v>4140</v>
      </c>
      <c r="B15" s="47">
        <v>8.1000000000000003E-2</v>
      </c>
      <c r="C15" s="79">
        <v>1.1999999999999999E-3</v>
      </c>
      <c r="D15" s="82">
        <v>0.03</v>
      </c>
    </row>
    <row r="16" spans="1:5">
      <c r="A16" s="77" t="s">
        <v>303</v>
      </c>
      <c r="B16" s="50">
        <v>9.0999999999999998E-2</v>
      </c>
      <c r="C16" s="80">
        <v>1E-3</v>
      </c>
      <c r="D16" s="83">
        <v>2.4E-2</v>
      </c>
    </row>
    <row r="17" spans="1:4">
      <c r="A17" s="76" t="s">
        <v>304</v>
      </c>
      <c r="B17" s="47">
        <v>0.16500000000000001</v>
      </c>
      <c r="C17" s="79">
        <v>6.9999999999999999E-4</v>
      </c>
      <c r="D17" s="82">
        <v>1.7999999999999999E-2</v>
      </c>
    </row>
    <row r="18" spans="1:4">
      <c r="A18" s="77" t="s">
        <v>305</v>
      </c>
      <c r="B18" s="50">
        <v>0.151</v>
      </c>
      <c r="C18" s="80">
        <v>6.9999999999999999E-4</v>
      </c>
      <c r="D18" s="83">
        <v>1.7000000000000001E-2</v>
      </c>
    </row>
    <row r="19" spans="1:4">
      <c r="A19" s="76" t="s">
        <v>306</v>
      </c>
      <c r="B19" s="47">
        <v>0.36399999999999999</v>
      </c>
      <c r="C19" s="79">
        <v>2.0000000000000001E-4</v>
      </c>
      <c r="D19" s="82">
        <v>4.0000000000000001E-3</v>
      </c>
    </row>
    <row r="20" spans="1:4">
      <c r="A20" s="77" t="s">
        <v>307</v>
      </c>
      <c r="B20" s="50">
        <v>0.19900000000000001</v>
      </c>
      <c r="C20" s="80">
        <v>1E-3</v>
      </c>
      <c r="D20" s="83">
        <v>2.5000000000000001E-2</v>
      </c>
    </row>
    <row r="21" spans="1:4">
      <c r="A21" s="78" t="s">
        <v>308</v>
      </c>
      <c r="B21" s="53">
        <v>0.496</v>
      </c>
      <c r="C21" s="81">
        <v>1.2999999999999999E-3</v>
      </c>
      <c r="D21" s="84">
        <v>3.2000000000000001E-2</v>
      </c>
    </row>
    <row r="23" spans="1:4">
      <c r="A23" s="3" t="s">
        <v>309</v>
      </c>
      <c r="D23">
        <v>3</v>
      </c>
    </row>
    <row r="24" spans="1:4">
      <c r="A24" s="43" t="s">
        <v>310</v>
      </c>
      <c r="B24" s="45" t="s">
        <v>144</v>
      </c>
    </row>
    <row r="25" spans="1:4">
      <c r="A25" s="46" t="s">
        <v>129</v>
      </c>
      <c r="B25" s="48">
        <v>0.5</v>
      </c>
    </row>
    <row r="26" spans="1:4">
      <c r="A26" s="49" t="s">
        <v>133</v>
      </c>
      <c r="B26" s="51">
        <v>0.5</v>
      </c>
    </row>
    <row r="27" spans="1:4">
      <c r="A27" s="46" t="s">
        <v>136</v>
      </c>
      <c r="B27" s="48">
        <v>1</v>
      </c>
    </row>
    <row r="28" spans="1:4">
      <c r="A28" s="49" t="s">
        <v>140</v>
      </c>
      <c r="B28" s="51">
        <v>2</v>
      </c>
    </row>
    <row r="29" spans="1:4">
      <c r="A29" s="52" t="s">
        <v>143</v>
      </c>
      <c r="B29" s="54">
        <v>2</v>
      </c>
    </row>
    <row r="31" spans="1:4">
      <c r="A31" s="3" t="s">
        <v>311</v>
      </c>
      <c r="D31">
        <v>1</v>
      </c>
    </row>
    <row r="32" spans="1:4">
      <c r="A32" s="43" t="s">
        <v>171</v>
      </c>
      <c r="B32" s="44" t="s">
        <v>312</v>
      </c>
      <c r="C32" s="45" t="s">
        <v>313</v>
      </c>
    </row>
    <row r="33" spans="1:4">
      <c r="A33" s="46" t="s">
        <v>314</v>
      </c>
      <c r="B33" s="89">
        <v>0.05</v>
      </c>
      <c r="C33" s="92">
        <v>0.1</v>
      </c>
    </row>
    <row r="34" spans="1:4">
      <c r="A34" s="49" t="s">
        <v>315</v>
      </c>
      <c r="B34" s="90">
        <v>0.1</v>
      </c>
      <c r="C34" s="93">
        <v>1</v>
      </c>
    </row>
    <row r="35" spans="1:4">
      <c r="A35" s="46" t="s">
        <v>316</v>
      </c>
      <c r="B35" s="89">
        <v>0.4</v>
      </c>
      <c r="C35" s="92">
        <v>2</v>
      </c>
    </row>
    <row r="36" spans="1:4">
      <c r="A36" s="49" t="s">
        <v>317</v>
      </c>
      <c r="B36" s="90">
        <v>0.5</v>
      </c>
      <c r="C36" s="93">
        <v>4</v>
      </c>
    </row>
    <row r="37" spans="1:4">
      <c r="A37" s="46" t="s">
        <v>318</v>
      </c>
      <c r="B37" s="89">
        <v>0.5</v>
      </c>
      <c r="C37" s="92">
        <v>8</v>
      </c>
    </row>
    <row r="38" spans="1:4">
      <c r="A38" s="86" t="s">
        <v>319</v>
      </c>
      <c r="B38" s="91">
        <v>0.9</v>
      </c>
      <c r="C38" s="94">
        <v>12</v>
      </c>
    </row>
    <row r="40" spans="1:4">
      <c r="A40" s="3" t="s">
        <v>320</v>
      </c>
      <c r="D40">
        <v>2</v>
      </c>
    </row>
    <row r="41" spans="1:4">
      <c r="A41" s="43" t="s">
        <v>172</v>
      </c>
      <c r="B41" s="44" t="s">
        <v>312</v>
      </c>
      <c r="C41" s="45" t="s">
        <v>313</v>
      </c>
    </row>
    <row r="42" spans="1:4">
      <c r="A42" s="46" t="s">
        <v>321</v>
      </c>
      <c r="B42" s="47">
        <v>0.05</v>
      </c>
      <c r="C42" s="48">
        <v>0.2</v>
      </c>
    </row>
    <row r="43" spans="1:4">
      <c r="A43" s="49" t="s">
        <v>322</v>
      </c>
      <c r="B43" s="50">
        <v>0.1</v>
      </c>
      <c r="C43" s="51">
        <v>0.2</v>
      </c>
    </row>
    <row r="44" spans="1:4">
      <c r="A44" s="46" t="s">
        <v>323</v>
      </c>
      <c r="B44" s="47">
        <v>0.15</v>
      </c>
      <c r="C44" s="48">
        <v>0.4</v>
      </c>
    </row>
    <row r="45" spans="1:4">
      <c r="A45" s="49" t="s">
        <v>324</v>
      </c>
      <c r="B45" s="50">
        <v>0.2</v>
      </c>
      <c r="C45" s="51">
        <v>0.4</v>
      </c>
    </row>
    <row r="46" spans="1:4">
      <c r="A46" s="52" t="s">
        <v>325</v>
      </c>
      <c r="B46" s="53">
        <v>0.25</v>
      </c>
      <c r="C46" s="54">
        <v>0.8</v>
      </c>
    </row>
    <row r="48" spans="1:4">
      <c r="A48" s="3" t="s">
        <v>326</v>
      </c>
      <c r="D48">
        <v>1</v>
      </c>
    </row>
    <row r="49" spans="1:4">
      <c r="A49" s="43" t="s">
        <v>173</v>
      </c>
      <c r="B49" s="44" t="s">
        <v>312</v>
      </c>
      <c r="C49" s="45" t="s">
        <v>313</v>
      </c>
    </row>
    <row r="50" spans="1:4">
      <c r="A50" s="46" t="s">
        <v>327</v>
      </c>
      <c r="B50" s="47">
        <v>0.1</v>
      </c>
      <c r="C50" s="48">
        <v>0.1</v>
      </c>
    </row>
    <row r="51" spans="1:4">
      <c r="A51" s="49" t="s">
        <v>328</v>
      </c>
      <c r="B51" s="50">
        <v>0.2</v>
      </c>
      <c r="C51" s="51">
        <v>0.2</v>
      </c>
    </row>
    <row r="52" spans="1:4">
      <c r="A52" s="46" t="s">
        <v>329</v>
      </c>
      <c r="B52" s="47">
        <v>0.2</v>
      </c>
      <c r="C52" s="48">
        <v>0.4</v>
      </c>
    </row>
    <row r="53" spans="1:4">
      <c r="A53" s="49" t="s">
        <v>330</v>
      </c>
      <c r="B53" s="50">
        <v>0.2</v>
      </c>
      <c r="C53" s="51">
        <v>0.4</v>
      </c>
    </row>
    <row r="54" spans="1:4">
      <c r="A54" s="46" t="s">
        <v>331</v>
      </c>
      <c r="B54" s="47">
        <v>0.4</v>
      </c>
      <c r="C54" s="48">
        <v>0.4</v>
      </c>
    </row>
    <row r="55" spans="1:4">
      <c r="A55" s="49" t="s">
        <v>332</v>
      </c>
      <c r="B55" s="50">
        <v>0.4</v>
      </c>
      <c r="C55" s="51">
        <v>0.5</v>
      </c>
    </row>
    <row r="56" spans="1:4">
      <c r="A56" s="52" t="s">
        <v>333</v>
      </c>
      <c r="B56" s="53">
        <v>0.5</v>
      </c>
      <c r="C56" s="54">
        <v>1</v>
      </c>
    </row>
    <row r="58" spans="1:4">
      <c r="A58" s="3" t="s">
        <v>334</v>
      </c>
      <c r="D58">
        <v>1</v>
      </c>
    </row>
    <row r="59" spans="1:4">
      <c r="A59" s="43" t="s">
        <v>175</v>
      </c>
      <c r="B59" s="44" t="s">
        <v>312</v>
      </c>
      <c r="C59" s="45" t="s">
        <v>313</v>
      </c>
    </row>
    <row r="60" spans="1:4">
      <c r="A60" s="46" t="s">
        <v>335</v>
      </c>
      <c r="B60" s="47">
        <v>0</v>
      </c>
      <c r="C60" s="48">
        <v>0</v>
      </c>
    </row>
    <row r="61" spans="1:4">
      <c r="A61" s="49" t="s">
        <v>336</v>
      </c>
      <c r="B61" s="50">
        <v>0.2</v>
      </c>
      <c r="C61" s="51">
        <v>0</v>
      </c>
    </row>
    <row r="62" spans="1:4">
      <c r="A62" s="46" t="s">
        <v>337</v>
      </c>
      <c r="B62" s="47">
        <v>0.4</v>
      </c>
      <c r="C62" s="48">
        <v>0.2</v>
      </c>
    </row>
    <row r="63" spans="1:4">
      <c r="A63" s="49" t="s">
        <v>338</v>
      </c>
      <c r="B63" s="50">
        <v>0</v>
      </c>
      <c r="C63" s="51">
        <v>0.1</v>
      </c>
      <c r="D63">
        <v>2</v>
      </c>
    </row>
    <row r="64" spans="1:4">
      <c r="A64" s="46" t="s">
        <v>339</v>
      </c>
      <c r="B64" s="47">
        <v>0.1</v>
      </c>
      <c r="C64" s="48">
        <v>0.2</v>
      </c>
    </row>
    <row r="65" spans="1:4">
      <c r="A65" s="86" t="s">
        <v>340</v>
      </c>
      <c r="B65" s="87">
        <v>0.5</v>
      </c>
      <c r="C65" s="88">
        <v>1</v>
      </c>
    </row>
    <row r="67" spans="1:4">
      <c r="A67" s="3" t="s">
        <v>341</v>
      </c>
    </row>
    <row r="68" spans="1:4">
      <c r="A68" s="43" t="s">
        <v>342</v>
      </c>
      <c r="B68" s="44" t="s">
        <v>312</v>
      </c>
      <c r="C68" s="45" t="s">
        <v>313</v>
      </c>
    </row>
    <row r="69" spans="1:4">
      <c r="A69" s="46" t="s">
        <v>176</v>
      </c>
      <c r="B69" s="47">
        <v>0.05</v>
      </c>
      <c r="C69" s="48">
        <v>0.1</v>
      </c>
    </row>
    <row r="70" spans="1:4">
      <c r="A70" s="49" t="s">
        <v>177</v>
      </c>
      <c r="B70" s="50">
        <v>0.05</v>
      </c>
      <c r="C70" s="51">
        <v>0.1</v>
      </c>
    </row>
    <row r="71" spans="1:4">
      <c r="A71" s="46" t="s">
        <v>178</v>
      </c>
      <c r="B71" s="47">
        <v>0.2</v>
      </c>
      <c r="C71" s="48">
        <v>0.5</v>
      </c>
    </row>
    <row r="72" spans="1:4">
      <c r="A72" s="49" t="s">
        <v>179</v>
      </c>
      <c r="B72" s="50">
        <v>0</v>
      </c>
      <c r="C72" s="51">
        <v>0.1</v>
      </c>
    </row>
    <row r="73" spans="1:4">
      <c r="A73" s="46" t="s">
        <v>180</v>
      </c>
      <c r="B73" s="47">
        <v>0.2</v>
      </c>
      <c r="C73" s="48">
        <v>1</v>
      </c>
    </row>
    <row r="74" spans="1:4">
      <c r="A74" s="49" t="s">
        <v>181</v>
      </c>
      <c r="B74" s="50">
        <v>0.4</v>
      </c>
      <c r="C74" s="51">
        <v>0.4</v>
      </c>
    </row>
    <row r="75" spans="1:4">
      <c r="A75" s="46" t="s">
        <v>182</v>
      </c>
      <c r="B75" s="47">
        <v>0.4</v>
      </c>
      <c r="C75" s="48">
        <v>0.4</v>
      </c>
    </row>
    <row r="76" spans="1:4">
      <c r="A76" s="49" t="s">
        <v>183</v>
      </c>
      <c r="B76" s="50">
        <v>2</v>
      </c>
      <c r="C76" s="51">
        <v>4</v>
      </c>
    </row>
    <row r="77" spans="1:4">
      <c r="A77" s="52" t="s">
        <v>184</v>
      </c>
      <c r="B77" s="53">
        <v>3</v>
      </c>
      <c r="C77" s="54">
        <v>6</v>
      </c>
    </row>
    <row r="79" spans="1:4">
      <c r="A79" s="3" t="s">
        <v>343</v>
      </c>
      <c r="D79">
        <f>($D$80-1)*3+$D$84</f>
        <v>2</v>
      </c>
    </row>
    <row r="80" spans="1:4">
      <c r="A80" s="7" t="s">
        <v>31</v>
      </c>
      <c r="C80">
        <v>4</v>
      </c>
      <c r="D80">
        <v>1</v>
      </c>
    </row>
    <row r="81" spans="1:4">
      <c r="A81" s="7" t="s">
        <v>344</v>
      </c>
      <c r="B81">
        <v>1</v>
      </c>
      <c r="C81">
        <v>2</v>
      </c>
    </row>
    <row r="82" spans="1:4">
      <c r="A82" s="7" t="s">
        <v>345</v>
      </c>
      <c r="B82">
        <v>2</v>
      </c>
      <c r="C82">
        <v>1</v>
      </c>
    </row>
    <row r="83" spans="1:4">
      <c r="A83" s="7" t="s">
        <v>346</v>
      </c>
      <c r="B83">
        <v>3</v>
      </c>
      <c r="C83">
        <v>16</v>
      </c>
    </row>
    <row r="84" spans="1:4">
      <c r="A84" s="7" t="s">
        <v>120</v>
      </c>
      <c r="C84">
        <v>4</v>
      </c>
      <c r="D84">
        <v>2</v>
      </c>
    </row>
    <row r="85" spans="1:4">
      <c r="A85" s="7" t="s">
        <v>347</v>
      </c>
      <c r="B85">
        <v>1</v>
      </c>
      <c r="C85">
        <v>2</v>
      </c>
    </row>
    <row r="86" spans="1:4">
      <c r="A86" s="7" t="s">
        <v>348</v>
      </c>
      <c r="B86">
        <v>2</v>
      </c>
      <c r="C86">
        <v>64</v>
      </c>
    </row>
    <row r="87" spans="1:4">
      <c r="A87" s="7" t="s">
        <v>349</v>
      </c>
      <c r="B87">
        <v>3</v>
      </c>
      <c r="C87">
        <v>16</v>
      </c>
    </row>
    <row r="88" spans="1:4">
      <c r="C88">
        <v>4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GIOVANNI LUCCHETTA</dc:creator>
  <cp:keywords/>
  <dc:description/>
  <cp:lastModifiedBy>Tommaso Pintonato</cp:lastModifiedBy>
  <cp:revision/>
  <dcterms:created xsi:type="dcterms:W3CDTF">2019-11-01T13:54:44Z</dcterms:created>
  <dcterms:modified xsi:type="dcterms:W3CDTF">2026-10-29T11:49:03Z</dcterms:modified>
  <cp:category/>
  <cp:contentStatus/>
</cp:coreProperties>
</file>